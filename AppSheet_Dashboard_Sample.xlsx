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s" sheetId="1" r:id="rId5"/>
    <sheet state="visible" name="Sales" sheetId="2" r:id="rId6"/>
    <sheet state="visible" name="Inbound" sheetId="3" r:id="rId7"/>
    <sheet state="visible" name="Outbound" sheetId="4" r:id="rId8"/>
    <sheet state="visible" name="Inventory" sheetId="5" r:id="rId9"/>
    <sheet state="visible" name="Dashboard_Summary" sheetId="6" r:id="rId10"/>
    <sheet state="visible" name=" KPI" sheetId="7" r:id="rId11"/>
  </sheets>
  <definedNames/>
  <calcPr/>
</workbook>
</file>

<file path=xl/sharedStrings.xml><?xml version="1.0" encoding="utf-8"?>
<sst xmlns="http://schemas.openxmlformats.org/spreadsheetml/2006/main" count="4297" uniqueCount="1002">
  <si>
    <t>제품코드</t>
  </si>
  <si>
    <t>제품명</t>
  </si>
  <si>
    <t>카테고리</t>
  </si>
  <si>
    <t>판매가</t>
  </si>
  <si>
    <t>매입원가</t>
  </si>
  <si>
    <t>공급업체</t>
  </si>
  <si>
    <t>안전재고</t>
  </si>
  <si>
    <t>마진율</t>
  </si>
  <si>
    <t>P001</t>
  </si>
  <si>
    <r>
      <rPr>
        <rFont val="Noto Sans CJK SC"/>
        <color theme="1"/>
        <sz val="10.0"/>
      </rPr>
      <t xml:space="preserve">노트북 </t>
    </r>
    <r>
      <rPr>
        <rFont val="맑은 고딕"/>
        <color theme="1"/>
        <sz val="10.0"/>
      </rPr>
      <t>Pro 15</t>
    </r>
  </si>
  <si>
    <t>전자제품</t>
  </si>
  <si>
    <t>TechCorp</t>
  </si>
  <si>
    <t>P002</t>
  </si>
  <si>
    <t>무선 마우스</t>
  </si>
  <si>
    <t>P003</t>
  </si>
  <si>
    <t>기계식 키보드</t>
  </si>
  <si>
    <t>P004</t>
  </si>
  <si>
    <r>
      <rPr>
        <rFont val="맑은 고딕"/>
        <color theme="1"/>
        <sz val="10.0"/>
      </rPr>
      <t>27</t>
    </r>
    <r>
      <rPr>
        <rFont val="Noto Sans CJK SC"/>
        <color theme="1"/>
        <sz val="10.0"/>
      </rPr>
      <t>인치 모니터</t>
    </r>
  </si>
  <si>
    <t>DisplayCo</t>
  </si>
  <si>
    <t>P005</t>
  </si>
  <si>
    <r>
      <rPr>
        <rFont val="맑은 고딕"/>
        <color theme="1"/>
        <sz val="10.0"/>
      </rPr>
      <t xml:space="preserve">USB-C </t>
    </r>
    <r>
      <rPr>
        <rFont val="Noto Sans CJK SC"/>
        <color theme="1"/>
        <sz val="10.0"/>
      </rPr>
      <t>허브</t>
    </r>
  </si>
  <si>
    <t>주변기기</t>
  </si>
  <si>
    <t>AccessoryK</t>
  </si>
  <si>
    <t>P006</t>
  </si>
  <si>
    <t>노이즈캔슬링 헤드폰</t>
  </si>
  <si>
    <t>음향기기</t>
  </si>
  <si>
    <t>SoundMax</t>
  </si>
  <si>
    <t>P007</t>
  </si>
  <si>
    <r>
      <rPr>
        <rFont val="Noto Sans CJK SC"/>
        <color theme="1"/>
        <sz val="10.0"/>
      </rPr>
      <t xml:space="preserve">웹캠 </t>
    </r>
    <r>
      <rPr>
        <rFont val="맑은 고딕"/>
        <color theme="1"/>
        <sz val="10.0"/>
      </rPr>
      <t>4K</t>
    </r>
  </si>
  <si>
    <t>VisionTech</t>
  </si>
  <si>
    <t>P008</t>
  </si>
  <si>
    <r>
      <rPr>
        <rFont val="Noto Sans CJK SC"/>
        <color theme="1"/>
        <sz val="10.0"/>
      </rPr>
      <t xml:space="preserve">외장 </t>
    </r>
    <r>
      <rPr>
        <rFont val="맑은 고딕"/>
        <color theme="1"/>
        <sz val="10.0"/>
      </rPr>
      <t>SSD 1TB</t>
    </r>
  </si>
  <si>
    <t>저장장치</t>
  </si>
  <si>
    <t>StoragePlus</t>
  </si>
  <si>
    <t>P009</t>
  </si>
  <si>
    <t>스마트워치</t>
  </si>
  <si>
    <t>웨어러블</t>
  </si>
  <si>
    <t>WearTech</t>
  </si>
  <si>
    <t>P010</t>
  </si>
  <si>
    <t>블루투스 스피커</t>
  </si>
  <si>
    <t>주문번호</t>
  </si>
  <si>
    <t>주문일자</t>
  </si>
  <si>
    <t>수량</t>
  </si>
  <si>
    <t>단가</t>
  </si>
  <si>
    <t>할인율</t>
  </si>
  <si>
    <t>판매금액</t>
  </si>
  <si>
    <t>고객명</t>
  </si>
  <si>
    <t>지역</t>
  </si>
  <si>
    <t>판매채널</t>
  </si>
  <si>
    <t>담당자</t>
  </si>
  <si>
    <t>S00015</t>
  </si>
  <si>
    <t>2026-02-11</t>
  </si>
  <si>
    <r>
      <rPr>
        <rFont val="맑은 고딕"/>
        <color theme="1"/>
        <sz val="10.0"/>
      </rPr>
      <t xml:space="preserve">USB-C </t>
    </r>
    <r>
      <rPr>
        <rFont val="Noto Sans CJK SC"/>
        <color theme="1"/>
        <sz val="10.0"/>
      </rPr>
      <t>허브</t>
    </r>
  </si>
  <si>
    <t>임수아</t>
  </si>
  <si>
    <t>경기</t>
  </si>
  <si>
    <r>
      <rPr>
        <rFont val="맑은 고딕"/>
        <color theme="1"/>
        <sz val="10.0"/>
      </rPr>
      <t xml:space="preserve">B2B </t>
    </r>
    <r>
      <rPr>
        <rFont val="Noto Sans CJK SC"/>
        <color theme="1"/>
        <sz val="10.0"/>
      </rPr>
      <t>직거래</t>
    </r>
  </si>
  <si>
    <t>김영업</t>
  </si>
  <si>
    <t>S00049</t>
  </si>
  <si>
    <t>송재민</t>
  </si>
  <si>
    <t>대구</t>
  </si>
  <si>
    <r>
      <rPr>
        <rFont val="맑은 고딕"/>
        <color theme="1"/>
        <sz val="10.0"/>
      </rPr>
      <t xml:space="preserve">B2B </t>
    </r>
    <r>
      <rPr>
        <rFont val="Noto Sans CJK SC"/>
        <color theme="1"/>
        <sz val="10.0"/>
      </rPr>
      <t>직거래</t>
    </r>
  </si>
  <si>
    <t>박팀장</t>
  </si>
  <si>
    <t>S00184</t>
  </si>
  <si>
    <t>한지유</t>
  </si>
  <si>
    <r>
      <rPr>
        <rFont val="맑은 고딕"/>
        <color theme="1"/>
        <sz val="10.0"/>
      </rPr>
      <t xml:space="preserve">B2B </t>
    </r>
    <r>
      <rPr>
        <rFont val="Noto Sans CJK SC"/>
        <color theme="1"/>
        <sz val="10.0"/>
      </rPr>
      <t>직거래</t>
    </r>
  </si>
  <si>
    <t>황현석</t>
  </si>
  <si>
    <t>S00110</t>
  </si>
  <si>
    <t>2026-02-12</t>
  </si>
  <si>
    <t>박지호</t>
  </si>
  <si>
    <t>마켓플레이스</t>
  </si>
  <si>
    <t>이매니저</t>
  </si>
  <si>
    <t>S00017</t>
  </si>
  <si>
    <t>2026-02-13</t>
  </si>
  <si>
    <t>정우진</t>
  </si>
  <si>
    <t>온라인몰</t>
  </si>
  <si>
    <t>S00079</t>
  </si>
  <si>
    <r>
      <rPr>
        <rFont val="맑은 고딕"/>
        <color theme="1"/>
        <sz val="10.0"/>
      </rPr>
      <t xml:space="preserve">USB-C </t>
    </r>
    <r>
      <rPr>
        <rFont val="Noto Sans CJK SC"/>
        <color theme="1"/>
        <sz val="10.0"/>
      </rPr>
      <t>허브</t>
    </r>
  </si>
  <si>
    <t>광주</t>
  </si>
  <si>
    <t>S00170</t>
  </si>
  <si>
    <r>
      <rPr>
        <rFont val="맑은 고딕"/>
        <color theme="1"/>
        <sz val="10.0"/>
      </rPr>
      <t xml:space="preserve">USB-C </t>
    </r>
    <r>
      <rPr>
        <rFont val="Noto Sans CJK SC"/>
        <color theme="1"/>
        <sz val="10.0"/>
      </rPr>
      <t>허브</t>
    </r>
  </si>
  <si>
    <t>백서윤</t>
  </si>
  <si>
    <t>춘천</t>
  </si>
  <si>
    <t>오프라인 매장</t>
  </si>
  <si>
    <t>S00095</t>
  </si>
  <si>
    <t>2026-02-14</t>
  </si>
  <si>
    <r>
      <rPr>
        <rFont val="맑은 고딕"/>
        <color theme="1"/>
        <sz val="10.0"/>
      </rPr>
      <t>27</t>
    </r>
    <r>
      <rPr>
        <rFont val="Noto Sans CJK SC"/>
        <color theme="1"/>
        <sz val="10.0"/>
      </rPr>
      <t>인치 모니터</t>
    </r>
  </si>
  <si>
    <t>오태현</t>
  </si>
  <si>
    <t>서울</t>
  </si>
  <si>
    <r>
      <rPr>
        <rFont val="맑은 고딕"/>
        <color theme="1"/>
        <sz val="10.0"/>
      </rPr>
      <t xml:space="preserve">B2B </t>
    </r>
    <r>
      <rPr>
        <rFont val="Noto Sans CJK SC"/>
        <color theme="1"/>
        <sz val="10.0"/>
      </rPr>
      <t>직거래</t>
    </r>
  </si>
  <si>
    <t>S00126</t>
  </si>
  <si>
    <t>S00147</t>
  </si>
  <si>
    <r>
      <rPr>
        <rFont val="맑은 고딕"/>
        <color theme="1"/>
        <sz val="10.0"/>
      </rPr>
      <t xml:space="preserve">USB-C </t>
    </r>
    <r>
      <rPr>
        <rFont val="Noto Sans CJK SC"/>
        <color theme="1"/>
        <sz val="10.0"/>
      </rPr>
      <t>허브</t>
    </r>
  </si>
  <si>
    <t>강하늘</t>
  </si>
  <si>
    <t>S00002</t>
  </si>
  <si>
    <t>2026-02-15</t>
  </si>
  <si>
    <t>김민준</t>
  </si>
  <si>
    <t>S00180</t>
  </si>
  <si>
    <r>
      <rPr>
        <rFont val="Noto Sans CJK SC"/>
        <color theme="1"/>
        <sz val="10.0"/>
      </rPr>
      <t xml:space="preserve">외장 </t>
    </r>
    <r>
      <rPr>
        <rFont val="맑은 고딕"/>
        <color theme="1"/>
        <sz val="10.0"/>
      </rPr>
      <t>SSD 1TB</t>
    </r>
  </si>
  <si>
    <t>S00155</t>
  </si>
  <si>
    <t>2026-02-16</t>
  </si>
  <si>
    <r>
      <rPr>
        <rFont val="Noto Sans CJK SC"/>
        <color theme="1"/>
        <sz val="10.0"/>
      </rPr>
      <t xml:space="preserve">노트북 </t>
    </r>
    <r>
      <rPr>
        <rFont val="맑은 고딕"/>
        <color theme="1"/>
        <sz val="10.0"/>
      </rPr>
      <t>Pro 15</t>
    </r>
  </si>
  <si>
    <t>대전</t>
  </si>
  <si>
    <t>S00165</t>
  </si>
  <si>
    <r>
      <rPr>
        <rFont val="Noto Sans CJK SC"/>
        <color theme="1"/>
        <sz val="10.0"/>
      </rPr>
      <t xml:space="preserve">외장 </t>
    </r>
    <r>
      <rPr>
        <rFont val="맑은 고딕"/>
        <color theme="1"/>
        <sz val="10.0"/>
      </rPr>
      <t>SSD 1TB</t>
    </r>
  </si>
  <si>
    <t>부산</t>
  </si>
  <si>
    <r>
      <rPr>
        <rFont val="맑은 고딕"/>
        <color theme="1"/>
        <sz val="10.0"/>
      </rPr>
      <t xml:space="preserve">B2B </t>
    </r>
    <r>
      <rPr>
        <rFont val="Noto Sans CJK SC"/>
        <color theme="1"/>
        <sz val="10.0"/>
      </rPr>
      <t>직거래</t>
    </r>
  </si>
  <si>
    <t>S00100</t>
  </si>
  <si>
    <t>2026-02-17</t>
  </si>
  <si>
    <t>S00114</t>
  </si>
  <si>
    <t>2026-02-18</t>
  </si>
  <si>
    <t>S00022</t>
  </si>
  <si>
    <t>2026-02-19</t>
  </si>
  <si>
    <t>S00050</t>
  </si>
  <si>
    <t>이서연</t>
  </si>
  <si>
    <t>인천</t>
  </si>
  <si>
    <r>
      <rPr>
        <rFont val="맑은 고딕"/>
        <color theme="1"/>
        <sz val="10.0"/>
      </rPr>
      <t xml:space="preserve">B2B </t>
    </r>
    <r>
      <rPr>
        <rFont val="Noto Sans CJK SC"/>
        <color theme="1"/>
        <sz val="10.0"/>
      </rPr>
      <t>직거래</t>
    </r>
  </si>
  <si>
    <t>S00073</t>
  </si>
  <si>
    <t>장도현</t>
  </si>
  <si>
    <t>S00133</t>
  </si>
  <si>
    <r>
      <rPr>
        <rFont val="맑은 고딕"/>
        <color theme="1"/>
        <sz val="10.0"/>
      </rPr>
      <t>27</t>
    </r>
    <r>
      <rPr>
        <rFont val="Noto Sans CJK SC"/>
        <color theme="1"/>
        <sz val="10.0"/>
      </rPr>
      <t>인치 모니터</t>
    </r>
  </si>
  <si>
    <t>최예린</t>
  </si>
  <si>
    <t>S00136</t>
  </si>
  <si>
    <r>
      <rPr>
        <rFont val="Noto Sans CJK SC"/>
        <color theme="1"/>
        <sz val="10.0"/>
      </rPr>
      <t xml:space="preserve">외장 </t>
    </r>
    <r>
      <rPr>
        <rFont val="맑은 고딕"/>
        <color theme="1"/>
        <sz val="10.0"/>
      </rPr>
      <t>SSD 1TB</t>
    </r>
  </si>
  <si>
    <t>S00139</t>
  </si>
  <si>
    <r>
      <rPr>
        <rFont val="맑은 고딕"/>
        <color theme="1"/>
        <sz val="10.0"/>
      </rPr>
      <t xml:space="preserve">USB-C </t>
    </r>
    <r>
      <rPr>
        <rFont val="Noto Sans CJK SC"/>
        <color theme="1"/>
        <sz val="10.0"/>
      </rPr>
      <t>허브</t>
    </r>
  </si>
  <si>
    <t>S00189</t>
  </si>
  <si>
    <r>
      <rPr>
        <rFont val="Noto Sans CJK SC"/>
        <color theme="1"/>
        <sz val="10.0"/>
      </rPr>
      <t xml:space="preserve">외장 </t>
    </r>
    <r>
      <rPr>
        <rFont val="맑은 고딕"/>
        <color theme="1"/>
        <sz val="10.0"/>
      </rPr>
      <t>SSD 1TB</t>
    </r>
  </si>
  <si>
    <t>S00197</t>
  </si>
  <si>
    <t>S00117</t>
  </si>
  <si>
    <t>2026-02-20</t>
  </si>
  <si>
    <t>윤소율</t>
  </si>
  <si>
    <t>S00078</t>
  </si>
  <si>
    <t>2026-02-21</t>
  </si>
  <si>
    <r>
      <rPr>
        <rFont val="Noto Sans CJK SC"/>
        <color theme="1"/>
        <sz val="10.0"/>
      </rPr>
      <t xml:space="preserve">웹캠 </t>
    </r>
    <r>
      <rPr>
        <rFont val="맑은 고딕"/>
        <color theme="1"/>
        <sz val="10.0"/>
      </rPr>
      <t>4K</t>
    </r>
  </si>
  <si>
    <t>S00143</t>
  </si>
  <si>
    <r>
      <rPr>
        <rFont val="Noto Sans CJK SC"/>
        <color theme="1"/>
        <sz val="10.0"/>
      </rPr>
      <t xml:space="preserve">웹캠 </t>
    </r>
    <r>
      <rPr>
        <rFont val="맑은 고딕"/>
        <color theme="1"/>
        <sz val="10.0"/>
      </rPr>
      <t>4K</t>
    </r>
  </si>
  <si>
    <t>S00181</t>
  </si>
  <si>
    <r>
      <rPr>
        <rFont val="맑은 고딕"/>
        <color theme="1"/>
        <sz val="10.0"/>
      </rPr>
      <t xml:space="preserve">USB-C </t>
    </r>
    <r>
      <rPr>
        <rFont val="Noto Sans CJK SC"/>
        <color theme="1"/>
        <sz val="10.0"/>
      </rPr>
      <t>허브</t>
    </r>
  </si>
  <si>
    <t>S00193</t>
  </si>
  <si>
    <t>S00039</t>
  </si>
  <si>
    <t>2026-02-22</t>
  </si>
  <si>
    <r>
      <rPr>
        <rFont val="Noto Sans CJK SC"/>
        <color theme="1"/>
        <sz val="10.0"/>
      </rPr>
      <t xml:space="preserve">웹캠 </t>
    </r>
    <r>
      <rPr>
        <rFont val="맑은 고딕"/>
        <color theme="1"/>
        <sz val="10.0"/>
      </rPr>
      <t>4K</t>
    </r>
  </si>
  <si>
    <r>
      <rPr>
        <rFont val="맑은 고딕"/>
        <color theme="1"/>
        <sz val="10.0"/>
      </rPr>
      <t xml:space="preserve">B2B </t>
    </r>
    <r>
      <rPr>
        <rFont val="Noto Sans CJK SC"/>
        <color theme="1"/>
        <sz val="10.0"/>
      </rPr>
      <t>직거래</t>
    </r>
  </si>
  <si>
    <t>S00167</t>
  </si>
  <si>
    <t>2026-02-23</t>
  </si>
  <si>
    <r>
      <rPr>
        <rFont val="Noto Sans CJK SC"/>
        <color theme="1"/>
        <sz val="10.0"/>
      </rPr>
      <t xml:space="preserve">웹캠 </t>
    </r>
    <r>
      <rPr>
        <rFont val="맑은 고딕"/>
        <color theme="1"/>
        <sz val="10.0"/>
      </rPr>
      <t>4K</t>
    </r>
  </si>
  <si>
    <r>
      <rPr>
        <rFont val="맑은 고딕"/>
        <color theme="1"/>
        <sz val="10.0"/>
      </rPr>
      <t xml:space="preserve">B2B </t>
    </r>
    <r>
      <rPr>
        <rFont val="Noto Sans CJK SC"/>
        <color theme="1"/>
        <sz val="10.0"/>
      </rPr>
      <t>직거래</t>
    </r>
  </si>
  <si>
    <t>S00057</t>
  </si>
  <si>
    <t>2026-02-24</t>
  </si>
  <si>
    <r>
      <rPr>
        <rFont val="맑은 고딕"/>
        <color theme="1"/>
        <sz val="10.0"/>
      </rPr>
      <t>27</t>
    </r>
    <r>
      <rPr>
        <rFont val="Noto Sans CJK SC"/>
        <color theme="1"/>
        <sz val="10.0"/>
      </rPr>
      <t>인치 모니터</t>
    </r>
  </si>
  <si>
    <t>S00103</t>
  </si>
  <si>
    <t>2026-02-25</t>
  </si>
  <si>
    <t>유시아</t>
  </si>
  <si>
    <r>
      <rPr>
        <rFont val="맑은 고딕"/>
        <color theme="1"/>
        <sz val="10.0"/>
      </rPr>
      <t xml:space="preserve">B2B </t>
    </r>
    <r>
      <rPr>
        <rFont val="Noto Sans CJK SC"/>
        <color theme="1"/>
        <sz val="10.0"/>
      </rPr>
      <t>직거래</t>
    </r>
  </si>
  <si>
    <t>S00199</t>
  </si>
  <si>
    <r>
      <rPr>
        <rFont val="맑은 고딕"/>
        <color theme="1"/>
        <sz val="10.0"/>
      </rPr>
      <t xml:space="preserve">B2B </t>
    </r>
    <r>
      <rPr>
        <rFont val="Noto Sans CJK SC"/>
        <color theme="1"/>
        <sz val="10.0"/>
      </rPr>
      <t>직거래</t>
    </r>
  </si>
  <si>
    <t>S00058</t>
  </si>
  <si>
    <t>2026-02-26</t>
  </si>
  <si>
    <t>S00081</t>
  </si>
  <si>
    <r>
      <rPr>
        <rFont val="맑은 고딕"/>
        <color theme="1"/>
        <sz val="10.0"/>
      </rPr>
      <t>27</t>
    </r>
    <r>
      <rPr>
        <rFont val="Noto Sans CJK SC"/>
        <color theme="1"/>
        <sz val="10.0"/>
      </rPr>
      <t>인치 모니터</t>
    </r>
  </si>
  <si>
    <t>S00065</t>
  </si>
  <si>
    <t>2026-02-27</t>
  </si>
  <si>
    <t>S00069</t>
  </si>
  <si>
    <r>
      <rPr>
        <rFont val="맑은 고딕"/>
        <color theme="1"/>
        <sz val="10.0"/>
      </rPr>
      <t xml:space="preserve">B2B </t>
    </r>
    <r>
      <rPr>
        <rFont val="Noto Sans CJK SC"/>
        <color theme="1"/>
        <sz val="10.0"/>
      </rPr>
      <t>직거래</t>
    </r>
  </si>
  <si>
    <t>S00109</t>
  </si>
  <si>
    <t>노건우</t>
  </si>
  <si>
    <t>S00066</t>
  </si>
  <si>
    <t>2026-02-28</t>
  </si>
  <si>
    <r>
      <rPr>
        <rFont val="맑은 고딕"/>
        <color theme="1"/>
        <sz val="10.0"/>
      </rPr>
      <t xml:space="preserve">B2B </t>
    </r>
    <r>
      <rPr>
        <rFont val="Noto Sans CJK SC"/>
        <color theme="1"/>
        <sz val="10.0"/>
      </rPr>
      <t>직거래</t>
    </r>
  </si>
  <si>
    <t>S00171</t>
  </si>
  <si>
    <r>
      <rPr>
        <rFont val="맑은 고딕"/>
        <color theme="1"/>
        <sz val="10.0"/>
      </rPr>
      <t xml:space="preserve">B2B </t>
    </r>
    <r>
      <rPr>
        <rFont val="Noto Sans CJK SC"/>
        <color theme="1"/>
        <sz val="10.0"/>
      </rPr>
      <t>직거래</t>
    </r>
  </si>
  <si>
    <t>S00148</t>
  </si>
  <si>
    <t>2026-03-01</t>
  </si>
  <si>
    <r>
      <rPr>
        <rFont val="Noto Sans CJK SC"/>
        <color theme="1"/>
        <sz val="10.0"/>
      </rPr>
      <t xml:space="preserve">웹캠 </t>
    </r>
    <r>
      <rPr>
        <rFont val="맑은 고딕"/>
        <color theme="1"/>
        <sz val="10.0"/>
      </rPr>
      <t>4K</t>
    </r>
  </si>
  <si>
    <t>S00016</t>
  </si>
  <si>
    <t>2026-03-02</t>
  </si>
  <si>
    <r>
      <rPr>
        <rFont val="맑은 고딕"/>
        <color theme="1"/>
        <sz val="10.0"/>
      </rPr>
      <t xml:space="preserve">B2B </t>
    </r>
    <r>
      <rPr>
        <rFont val="Noto Sans CJK SC"/>
        <color theme="1"/>
        <sz val="10.0"/>
      </rPr>
      <t>직거래</t>
    </r>
  </si>
  <si>
    <t>S00043</t>
  </si>
  <si>
    <t>2026-03-03</t>
  </si>
  <si>
    <r>
      <rPr>
        <rFont val="Noto Sans CJK SC"/>
        <color theme="1"/>
        <sz val="10.0"/>
      </rPr>
      <t xml:space="preserve">웹캠 </t>
    </r>
    <r>
      <rPr>
        <rFont val="맑은 고딕"/>
        <color theme="1"/>
        <sz val="10.0"/>
      </rPr>
      <t>4K</t>
    </r>
  </si>
  <si>
    <t>S00044</t>
  </si>
  <si>
    <t>S00150</t>
  </si>
  <si>
    <r>
      <rPr>
        <rFont val="Noto Sans CJK SC"/>
        <color theme="1"/>
        <sz val="10.0"/>
      </rPr>
      <t xml:space="preserve">노트북 </t>
    </r>
    <r>
      <rPr>
        <rFont val="맑은 고딕"/>
        <color theme="1"/>
        <sz val="10.0"/>
      </rPr>
      <t>Pro 15</t>
    </r>
  </si>
  <si>
    <t>S00177</t>
  </si>
  <si>
    <r>
      <rPr>
        <rFont val="Noto Sans CJK SC"/>
        <color theme="1"/>
        <sz val="10.0"/>
      </rPr>
      <t xml:space="preserve">외장 </t>
    </r>
    <r>
      <rPr>
        <rFont val="맑은 고딕"/>
        <color theme="1"/>
        <sz val="10.0"/>
      </rPr>
      <t>SSD 1TB</t>
    </r>
  </si>
  <si>
    <t>S00096</t>
  </si>
  <si>
    <t>2026-03-05</t>
  </si>
  <si>
    <t>S00115</t>
  </si>
  <si>
    <t>S00122</t>
  </si>
  <si>
    <t>S00154</t>
  </si>
  <si>
    <r>
      <rPr>
        <rFont val="Noto Sans CJK SC"/>
        <color theme="1"/>
        <sz val="10.0"/>
      </rPr>
      <t xml:space="preserve">웹캠 </t>
    </r>
    <r>
      <rPr>
        <rFont val="맑은 고딕"/>
        <color theme="1"/>
        <sz val="10.0"/>
      </rPr>
      <t>4K</t>
    </r>
  </si>
  <si>
    <t>S00107</t>
  </si>
  <si>
    <t>2026-03-07</t>
  </si>
  <si>
    <r>
      <rPr>
        <rFont val="맑은 고딕"/>
        <color theme="1"/>
        <sz val="10.0"/>
      </rPr>
      <t>27</t>
    </r>
    <r>
      <rPr>
        <rFont val="Noto Sans CJK SC"/>
        <color theme="1"/>
        <sz val="10.0"/>
      </rPr>
      <t>인치 모니터</t>
    </r>
  </si>
  <si>
    <t>S00055</t>
  </si>
  <si>
    <t>2026-03-08</t>
  </si>
  <si>
    <r>
      <rPr>
        <rFont val="Noto Sans CJK SC"/>
        <color theme="1"/>
        <sz val="10.0"/>
      </rPr>
      <t xml:space="preserve">노트북 </t>
    </r>
    <r>
      <rPr>
        <rFont val="맑은 고딕"/>
        <color theme="1"/>
        <sz val="10.0"/>
      </rPr>
      <t>Pro 15</t>
    </r>
  </si>
  <si>
    <t>S00118</t>
  </si>
  <si>
    <r>
      <rPr>
        <rFont val="Noto Sans CJK SC"/>
        <color theme="1"/>
        <sz val="10.0"/>
      </rPr>
      <t xml:space="preserve">외장 </t>
    </r>
    <r>
      <rPr>
        <rFont val="맑은 고딕"/>
        <color theme="1"/>
        <sz val="10.0"/>
      </rPr>
      <t>SSD 1TB</t>
    </r>
  </si>
  <si>
    <r>
      <rPr>
        <rFont val="맑은 고딕"/>
        <color theme="1"/>
        <sz val="10.0"/>
      </rPr>
      <t xml:space="preserve">B2B </t>
    </r>
    <r>
      <rPr>
        <rFont val="Noto Sans CJK SC"/>
        <color theme="1"/>
        <sz val="10.0"/>
      </rPr>
      <t>직거래</t>
    </r>
  </si>
  <si>
    <t>S00158</t>
  </si>
  <si>
    <t>2026-03-11</t>
  </si>
  <si>
    <r>
      <rPr>
        <rFont val="맑은 고딕"/>
        <color theme="1"/>
        <sz val="10.0"/>
      </rPr>
      <t xml:space="preserve">B2B </t>
    </r>
    <r>
      <rPr>
        <rFont val="Noto Sans CJK SC"/>
        <color theme="1"/>
        <sz val="10.0"/>
      </rPr>
      <t>직거래</t>
    </r>
  </si>
  <si>
    <t>S00179</t>
  </si>
  <si>
    <t>S00010</t>
  </si>
  <si>
    <t>2026-03-12</t>
  </si>
  <si>
    <t>S00083</t>
  </si>
  <si>
    <t>S00120</t>
  </si>
  <si>
    <t>S00141</t>
  </si>
  <si>
    <r>
      <rPr>
        <rFont val="맑은 고딕"/>
        <color theme="1"/>
        <sz val="10.0"/>
      </rPr>
      <t xml:space="preserve">B2B </t>
    </r>
    <r>
      <rPr>
        <rFont val="Noto Sans CJK SC"/>
        <color theme="1"/>
        <sz val="10.0"/>
      </rPr>
      <t>직거래</t>
    </r>
  </si>
  <si>
    <t>S00128</t>
  </si>
  <si>
    <t>2026-03-13</t>
  </si>
  <si>
    <t>S00182</t>
  </si>
  <si>
    <t>S00036</t>
  </si>
  <si>
    <t>2026-03-14</t>
  </si>
  <si>
    <r>
      <rPr>
        <rFont val="맑은 고딕"/>
        <color theme="1"/>
        <sz val="10.0"/>
      </rPr>
      <t xml:space="preserve">USB-C </t>
    </r>
    <r>
      <rPr>
        <rFont val="Noto Sans CJK SC"/>
        <color theme="1"/>
        <sz val="10.0"/>
      </rPr>
      <t>허브</t>
    </r>
  </si>
  <si>
    <t>S00076</t>
  </si>
  <si>
    <r>
      <rPr>
        <rFont val="맑은 고딕"/>
        <color theme="1"/>
        <sz val="10.0"/>
      </rPr>
      <t xml:space="preserve">B2B </t>
    </r>
    <r>
      <rPr>
        <rFont val="Noto Sans CJK SC"/>
        <color theme="1"/>
        <sz val="10.0"/>
      </rPr>
      <t>직거래</t>
    </r>
  </si>
  <si>
    <t>S00087</t>
  </si>
  <si>
    <t>S00029</t>
  </si>
  <si>
    <t>2026-03-16</t>
  </si>
  <si>
    <r>
      <rPr>
        <rFont val="맑은 고딕"/>
        <color theme="1"/>
        <sz val="10.0"/>
      </rPr>
      <t xml:space="preserve">USB-C </t>
    </r>
    <r>
      <rPr>
        <rFont val="Noto Sans CJK SC"/>
        <color theme="1"/>
        <sz val="10.0"/>
      </rPr>
      <t>허브</t>
    </r>
  </si>
  <si>
    <t>S00034</t>
  </si>
  <si>
    <t>S00047</t>
  </si>
  <si>
    <r>
      <rPr>
        <rFont val="맑은 고딕"/>
        <color theme="1"/>
        <sz val="10.0"/>
      </rPr>
      <t xml:space="preserve">B2B </t>
    </r>
    <r>
      <rPr>
        <rFont val="Noto Sans CJK SC"/>
        <color theme="1"/>
        <sz val="10.0"/>
      </rPr>
      <t>직거래</t>
    </r>
  </si>
  <si>
    <t>S00101</t>
  </si>
  <si>
    <t>2026-03-17</t>
  </si>
  <si>
    <t>S00004</t>
  </si>
  <si>
    <t>2026-03-18</t>
  </si>
  <si>
    <r>
      <rPr>
        <rFont val="맑은 고딕"/>
        <color theme="1"/>
        <sz val="10.0"/>
      </rPr>
      <t>27</t>
    </r>
    <r>
      <rPr>
        <rFont val="Noto Sans CJK SC"/>
        <color theme="1"/>
        <sz val="10.0"/>
      </rPr>
      <t>인치 모니터</t>
    </r>
  </si>
  <si>
    <t>S00046</t>
  </si>
  <si>
    <t>S00134</t>
  </si>
  <si>
    <t>S00166</t>
  </si>
  <si>
    <t>2026-03-19</t>
  </si>
  <si>
    <r>
      <rPr>
        <rFont val="Noto Sans CJK SC"/>
        <color theme="1"/>
        <sz val="10.0"/>
      </rPr>
      <t xml:space="preserve">웹캠 </t>
    </r>
    <r>
      <rPr>
        <rFont val="맑은 고딕"/>
        <color theme="1"/>
        <sz val="10.0"/>
      </rPr>
      <t>4K</t>
    </r>
  </si>
  <si>
    <t>S00007</t>
  </si>
  <si>
    <t>2026-03-20</t>
  </si>
  <si>
    <r>
      <rPr>
        <rFont val="맑은 고딕"/>
        <color theme="1"/>
        <sz val="10.0"/>
      </rPr>
      <t>27</t>
    </r>
    <r>
      <rPr>
        <rFont val="Noto Sans CJK SC"/>
        <color theme="1"/>
        <sz val="10.0"/>
      </rPr>
      <t>인치 모니터</t>
    </r>
  </si>
  <si>
    <t>S00030</t>
  </si>
  <si>
    <r>
      <rPr>
        <rFont val="Noto Sans CJK SC"/>
        <color theme="1"/>
        <sz val="10.0"/>
      </rPr>
      <t xml:space="preserve">노트북 </t>
    </r>
    <r>
      <rPr>
        <rFont val="맑은 고딕"/>
        <color theme="1"/>
        <sz val="10.0"/>
      </rPr>
      <t>Pro 15</t>
    </r>
  </si>
  <si>
    <t>S00156</t>
  </si>
  <si>
    <r>
      <rPr>
        <rFont val="Noto Sans CJK SC"/>
        <color theme="1"/>
        <sz val="10.0"/>
      </rPr>
      <t xml:space="preserve">웹캠 </t>
    </r>
    <r>
      <rPr>
        <rFont val="맑은 고딕"/>
        <color theme="1"/>
        <sz val="10.0"/>
      </rPr>
      <t>4K</t>
    </r>
  </si>
  <si>
    <r>
      <rPr>
        <rFont val="맑은 고딕"/>
        <color theme="1"/>
        <sz val="10.0"/>
      </rPr>
      <t xml:space="preserve">B2B </t>
    </r>
    <r>
      <rPr>
        <rFont val="Noto Sans CJK SC"/>
        <color theme="1"/>
        <sz val="10.0"/>
      </rPr>
      <t>직거래</t>
    </r>
  </si>
  <si>
    <t>S00153</t>
  </si>
  <si>
    <t>2026-03-21</t>
  </si>
  <si>
    <t>S00121</t>
  </si>
  <si>
    <t>2026-03-22</t>
  </si>
  <si>
    <r>
      <rPr>
        <rFont val="Noto Sans CJK SC"/>
        <color theme="1"/>
        <sz val="10.0"/>
      </rPr>
      <t xml:space="preserve">노트북 </t>
    </r>
    <r>
      <rPr>
        <rFont val="맑은 고딕"/>
        <color theme="1"/>
        <sz val="10.0"/>
      </rPr>
      <t>Pro 15</t>
    </r>
  </si>
  <si>
    <r>
      <rPr>
        <rFont val="맑은 고딕"/>
        <color theme="1"/>
        <sz val="10.0"/>
      </rPr>
      <t xml:space="preserve">B2B </t>
    </r>
    <r>
      <rPr>
        <rFont val="Noto Sans CJK SC"/>
        <color theme="1"/>
        <sz val="10.0"/>
      </rPr>
      <t>직거래</t>
    </r>
  </si>
  <si>
    <t>S00162</t>
  </si>
  <si>
    <r>
      <rPr>
        <rFont val="Noto Sans CJK SC"/>
        <color theme="1"/>
        <sz val="10.0"/>
      </rPr>
      <t xml:space="preserve">외장 </t>
    </r>
    <r>
      <rPr>
        <rFont val="맑은 고딕"/>
        <color theme="1"/>
        <sz val="10.0"/>
      </rPr>
      <t>SSD 1TB</t>
    </r>
  </si>
  <si>
    <t>S00169</t>
  </si>
  <si>
    <r>
      <rPr>
        <rFont val="Noto Sans CJK SC"/>
        <color theme="1"/>
        <sz val="10.0"/>
      </rPr>
      <t xml:space="preserve">웹캠 </t>
    </r>
    <r>
      <rPr>
        <rFont val="맑은 고딕"/>
        <color theme="1"/>
        <sz val="10.0"/>
      </rPr>
      <t>4K</t>
    </r>
  </si>
  <si>
    <t>S00174</t>
  </si>
  <si>
    <r>
      <rPr>
        <rFont val="맑은 고딕"/>
        <color theme="1"/>
        <sz val="10.0"/>
      </rPr>
      <t>27</t>
    </r>
    <r>
      <rPr>
        <rFont val="Noto Sans CJK SC"/>
        <color theme="1"/>
        <sz val="10.0"/>
      </rPr>
      <t>인치 모니터</t>
    </r>
  </si>
  <si>
    <r>
      <rPr>
        <rFont val="맑은 고딕"/>
        <color theme="1"/>
        <sz val="10.0"/>
      </rPr>
      <t xml:space="preserve">B2B </t>
    </r>
    <r>
      <rPr>
        <rFont val="Noto Sans CJK SC"/>
        <color theme="1"/>
        <sz val="10.0"/>
      </rPr>
      <t>직거래</t>
    </r>
  </si>
  <si>
    <t>S00190</t>
  </si>
  <si>
    <r>
      <rPr>
        <rFont val="Noto Sans CJK SC"/>
        <color theme="1"/>
        <sz val="10.0"/>
      </rPr>
      <t xml:space="preserve">웹캠 </t>
    </r>
    <r>
      <rPr>
        <rFont val="맑은 고딕"/>
        <color theme="1"/>
        <sz val="10.0"/>
      </rPr>
      <t>4K</t>
    </r>
  </si>
  <si>
    <t>S00099</t>
  </si>
  <si>
    <t>2026-03-23</t>
  </si>
  <si>
    <t>S00142</t>
  </si>
  <si>
    <r>
      <rPr>
        <rFont val="맑은 고딕"/>
        <color theme="1"/>
        <sz val="10.0"/>
      </rPr>
      <t xml:space="preserve">USB-C </t>
    </r>
    <r>
      <rPr>
        <rFont val="Noto Sans CJK SC"/>
        <color theme="1"/>
        <sz val="10.0"/>
      </rPr>
      <t>허브</t>
    </r>
  </si>
  <si>
    <t>S00051</t>
  </si>
  <si>
    <t>2026-03-24</t>
  </si>
  <si>
    <r>
      <rPr>
        <rFont val="맑은 고딕"/>
        <color theme="1"/>
        <sz val="10.0"/>
      </rPr>
      <t xml:space="preserve">USB-C </t>
    </r>
    <r>
      <rPr>
        <rFont val="Noto Sans CJK SC"/>
        <color theme="1"/>
        <sz val="10.0"/>
      </rPr>
      <t>허브</t>
    </r>
  </si>
  <si>
    <t>S00194</t>
  </si>
  <si>
    <r>
      <rPr>
        <rFont val="맑은 고딕"/>
        <color theme="1"/>
        <sz val="10.0"/>
      </rPr>
      <t xml:space="preserve">USB-C </t>
    </r>
    <r>
      <rPr>
        <rFont val="Noto Sans CJK SC"/>
        <color theme="1"/>
        <sz val="10.0"/>
      </rPr>
      <t>허브</t>
    </r>
  </si>
  <si>
    <t>S00021</t>
  </si>
  <si>
    <t>2026-03-26</t>
  </si>
  <si>
    <t>S00111</t>
  </si>
  <si>
    <r>
      <rPr>
        <rFont val="Noto Sans CJK SC"/>
        <color theme="1"/>
        <sz val="10.0"/>
      </rPr>
      <t xml:space="preserve">웹캠 </t>
    </r>
    <r>
      <rPr>
        <rFont val="맑은 고딕"/>
        <color theme="1"/>
        <sz val="10.0"/>
      </rPr>
      <t>4K</t>
    </r>
  </si>
  <si>
    <r>
      <rPr>
        <rFont val="맑은 고딕"/>
        <color theme="1"/>
        <sz val="10.0"/>
      </rPr>
      <t xml:space="preserve">B2B </t>
    </r>
    <r>
      <rPr>
        <rFont val="Noto Sans CJK SC"/>
        <color theme="1"/>
        <sz val="10.0"/>
      </rPr>
      <t>직거래</t>
    </r>
  </si>
  <si>
    <t>S00192</t>
  </si>
  <si>
    <r>
      <rPr>
        <rFont val="Noto Sans CJK SC"/>
        <color theme="1"/>
        <sz val="10.0"/>
      </rPr>
      <t xml:space="preserve">외장 </t>
    </r>
    <r>
      <rPr>
        <rFont val="맑은 고딕"/>
        <color theme="1"/>
        <sz val="10.0"/>
      </rPr>
      <t>SSD 1TB</t>
    </r>
  </si>
  <si>
    <t>S00005</t>
  </si>
  <si>
    <t>2026-03-27</t>
  </si>
  <si>
    <r>
      <rPr>
        <rFont val="맑은 고딕"/>
        <color theme="1"/>
        <sz val="10.0"/>
      </rPr>
      <t xml:space="preserve">USB-C </t>
    </r>
    <r>
      <rPr>
        <rFont val="Noto Sans CJK SC"/>
        <color theme="1"/>
        <sz val="10.0"/>
      </rPr>
      <t>허브</t>
    </r>
  </si>
  <si>
    <t>S00045</t>
  </si>
  <si>
    <r>
      <rPr>
        <rFont val="맑은 고딕"/>
        <color theme="1"/>
        <sz val="10.0"/>
      </rPr>
      <t>27</t>
    </r>
    <r>
      <rPr>
        <rFont val="Noto Sans CJK SC"/>
        <color theme="1"/>
        <sz val="10.0"/>
      </rPr>
      <t>인치 모니터</t>
    </r>
  </si>
  <si>
    <r>
      <rPr>
        <rFont val="맑은 고딕"/>
        <color theme="1"/>
        <sz val="10.0"/>
      </rPr>
      <t xml:space="preserve">B2B </t>
    </r>
    <r>
      <rPr>
        <rFont val="Noto Sans CJK SC"/>
        <color theme="1"/>
        <sz val="10.0"/>
      </rPr>
      <t>직거래</t>
    </r>
  </si>
  <si>
    <t>S00146</t>
  </si>
  <si>
    <t>S00178</t>
  </si>
  <si>
    <r>
      <rPr>
        <rFont val="Noto Sans CJK SC"/>
        <color theme="1"/>
        <sz val="10.0"/>
      </rPr>
      <t xml:space="preserve">웹캠 </t>
    </r>
    <r>
      <rPr>
        <rFont val="맑은 고딕"/>
        <color theme="1"/>
        <sz val="10.0"/>
      </rPr>
      <t>4K</t>
    </r>
  </si>
  <si>
    <t>S00008</t>
  </si>
  <si>
    <t>2026-03-28</t>
  </si>
  <si>
    <r>
      <rPr>
        <rFont val="맑은 고딕"/>
        <color theme="1"/>
        <sz val="10.0"/>
      </rPr>
      <t xml:space="preserve">USB-C </t>
    </r>
    <r>
      <rPr>
        <rFont val="Noto Sans CJK SC"/>
        <color theme="1"/>
        <sz val="10.0"/>
      </rPr>
      <t>허브</t>
    </r>
  </si>
  <si>
    <t>S00135</t>
  </si>
  <si>
    <t>S00191</t>
  </si>
  <si>
    <t>S00012</t>
  </si>
  <si>
    <t>2026-03-29</t>
  </si>
  <si>
    <t>S00196</t>
  </si>
  <si>
    <t>S00198</t>
  </si>
  <si>
    <t>2026-03-30</t>
  </si>
  <si>
    <r>
      <rPr>
        <rFont val="맑은 고딕"/>
        <color theme="1"/>
        <sz val="10.0"/>
      </rPr>
      <t xml:space="preserve">B2B </t>
    </r>
    <r>
      <rPr>
        <rFont val="Noto Sans CJK SC"/>
        <color theme="1"/>
        <sz val="10.0"/>
      </rPr>
      <t>직거래</t>
    </r>
  </si>
  <si>
    <t>S00067</t>
  </si>
  <si>
    <t>2026-03-31</t>
  </si>
  <si>
    <r>
      <rPr>
        <rFont val="Noto Sans CJK SC"/>
        <color theme="1"/>
        <sz val="10.0"/>
      </rPr>
      <t xml:space="preserve">웹캠 </t>
    </r>
    <r>
      <rPr>
        <rFont val="맑은 고딕"/>
        <color theme="1"/>
        <sz val="10.0"/>
      </rPr>
      <t>4K</t>
    </r>
  </si>
  <si>
    <r>
      <rPr>
        <rFont val="맑은 고딕"/>
        <color theme="1"/>
        <sz val="10.0"/>
      </rPr>
      <t xml:space="preserve">B2B </t>
    </r>
    <r>
      <rPr>
        <rFont val="Noto Sans CJK SC"/>
        <color theme="1"/>
        <sz val="10.0"/>
      </rPr>
      <t>직거래</t>
    </r>
  </si>
  <si>
    <t>S00011</t>
  </si>
  <si>
    <t>2026-04-02</t>
  </si>
  <si>
    <r>
      <rPr>
        <rFont val="Noto Sans CJK SC"/>
        <color theme="1"/>
        <sz val="10.0"/>
      </rPr>
      <t xml:space="preserve">외장 </t>
    </r>
    <r>
      <rPr>
        <rFont val="맑은 고딕"/>
        <color theme="1"/>
        <sz val="10.0"/>
      </rPr>
      <t>SSD 1TB</t>
    </r>
  </si>
  <si>
    <t>S00131</t>
  </si>
  <si>
    <r>
      <rPr>
        <rFont val="맑은 고딕"/>
        <color theme="1"/>
        <sz val="10.0"/>
      </rPr>
      <t>27</t>
    </r>
    <r>
      <rPr>
        <rFont val="Noto Sans CJK SC"/>
        <color theme="1"/>
        <sz val="10.0"/>
      </rPr>
      <t>인치 모니터</t>
    </r>
  </si>
  <si>
    <t>S00025</t>
  </si>
  <si>
    <t>2026-04-03</t>
  </si>
  <si>
    <t>S00052</t>
  </si>
  <si>
    <r>
      <rPr>
        <rFont val="Noto Sans CJK SC"/>
        <color theme="1"/>
        <sz val="10.0"/>
      </rPr>
      <t xml:space="preserve">노트북 </t>
    </r>
    <r>
      <rPr>
        <rFont val="맑은 고딕"/>
        <color theme="1"/>
        <sz val="10.0"/>
      </rPr>
      <t>Pro 15</t>
    </r>
  </si>
  <si>
    <t>S00086</t>
  </si>
  <si>
    <r>
      <rPr>
        <rFont val="맑은 고딕"/>
        <color theme="1"/>
        <sz val="10.0"/>
      </rPr>
      <t xml:space="preserve">B2B </t>
    </r>
    <r>
      <rPr>
        <rFont val="Noto Sans CJK SC"/>
        <color theme="1"/>
        <sz val="10.0"/>
      </rPr>
      <t>직거래</t>
    </r>
  </si>
  <si>
    <t>S00062</t>
  </si>
  <si>
    <t>2026-04-04</t>
  </si>
  <si>
    <t>S00090</t>
  </si>
  <si>
    <t>S00173</t>
  </si>
  <si>
    <r>
      <rPr>
        <rFont val="맑은 고딕"/>
        <color theme="1"/>
        <sz val="10.0"/>
      </rPr>
      <t>27</t>
    </r>
    <r>
      <rPr>
        <rFont val="Noto Sans CJK SC"/>
        <color theme="1"/>
        <sz val="10.0"/>
      </rPr>
      <t>인치 모니터</t>
    </r>
  </si>
  <si>
    <t>S00033</t>
  </si>
  <si>
    <t>2026-04-05</t>
  </si>
  <si>
    <r>
      <rPr>
        <rFont val="맑은 고딕"/>
        <color theme="1"/>
        <sz val="10.0"/>
      </rPr>
      <t xml:space="preserve">B2B </t>
    </r>
    <r>
      <rPr>
        <rFont val="Noto Sans CJK SC"/>
        <color theme="1"/>
        <sz val="10.0"/>
      </rPr>
      <t>직거래</t>
    </r>
  </si>
  <si>
    <t>S00105</t>
  </si>
  <si>
    <t>S00149</t>
  </si>
  <si>
    <t>S00151</t>
  </si>
  <si>
    <r>
      <rPr>
        <rFont val="맑은 고딕"/>
        <color theme="1"/>
        <sz val="10.0"/>
      </rPr>
      <t>27</t>
    </r>
    <r>
      <rPr>
        <rFont val="Noto Sans CJK SC"/>
        <color theme="1"/>
        <sz val="10.0"/>
      </rPr>
      <t>인치 모니터</t>
    </r>
  </si>
  <si>
    <r>
      <rPr>
        <rFont val="맑은 고딕"/>
        <color theme="1"/>
        <sz val="10.0"/>
      </rPr>
      <t xml:space="preserve">B2B </t>
    </r>
    <r>
      <rPr>
        <rFont val="Noto Sans CJK SC"/>
        <color theme="1"/>
        <sz val="10.0"/>
      </rPr>
      <t>직거래</t>
    </r>
  </si>
  <si>
    <t>S00026</t>
  </si>
  <si>
    <t>2026-04-06</t>
  </si>
  <si>
    <r>
      <rPr>
        <rFont val="맑은 고딕"/>
        <color theme="1"/>
        <sz val="10.0"/>
      </rPr>
      <t xml:space="preserve">USB-C </t>
    </r>
    <r>
      <rPr>
        <rFont val="Noto Sans CJK SC"/>
        <color theme="1"/>
        <sz val="10.0"/>
      </rPr>
      <t>허브</t>
    </r>
  </si>
  <si>
    <t>S00080</t>
  </si>
  <si>
    <r>
      <rPr>
        <rFont val="맑은 고딕"/>
        <color theme="1"/>
        <sz val="10.0"/>
      </rPr>
      <t xml:space="preserve">B2B </t>
    </r>
    <r>
      <rPr>
        <rFont val="Noto Sans CJK SC"/>
        <color theme="1"/>
        <sz val="10.0"/>
      </rPr>
      <t>직거래</t>
    </r>
  </si>
  <si>
    <t>S00048</t>
  </si>
  <si>
    <t>2026-04-07</t>
  </si>
  <si>
    <t>S00075</t>
  </si>
  <si>
    <r>
      <rPr>
        <rFont val="맑은 고딕"/>
        <color theme="1"/>
        <sz val="10.0"/>
      </rPr>
      <t xml:space="preserve">B2B </t>
    </r>
    <r>
      <rPr>
        <rFont val="Noto Sans CJK SC"/>
        <color theme="1"/>
        <sz val="10.0"/>
      </rPr>
      <t>직거래</t>
    </r>
  </si>
  <si>
    <t>S00113</t>
  </si>
  <si>
    <t>S00157</t>
  </si>
  <si>
    <r>
      <rPr>
        <rFont val="맑은 고딕"/>
        <color theme="1"/>
        <sz val="10.0"/>
      </rPr>
      <t>27</t>
    </r>
    <r>
      <rPr>
        <rFont val="Noto Sans CJK SC"/>
        <color theme="1"/>
        <sz val="10.0"/>
      </rPr>
      <t>인치 모니터</t>
    </r>
  </si>
  <si>
    <r>
      <rPr>
        <rFont val="맑은 고딕"/>
        <color theme="1"/>
        <sz val="10.0"/>
      </rPr>
      <t xml:space="preserve">B2B </t>
    </r>
    <r>
      <rPr>
        <rFont val="Noto Sans CJK SC"/>
        <color theme="1"/>
        <sz val="10.0"/>
      </rPr>
      <t>직거래</t>
    </r>
  </si>
  <si>
    <t>S00040</t>
  </si>
  <si>
    <t>2026-04-08</t>
  </si>
  <si>
    <r>
      <rPr>
        <rFont val="Noto Sans CJK SC"/>
        <color theme="1"/>
        <sz val="10.0"/>
      </rPr>
      <t xml:space="preserve">웹캠 </t>
    </r>
    <r>
      <rPr>
        <rFont val="맑은 고딕"/>
        <color theme="1"/>
        <sz val="10.0"/>
      </rPr>
      <t>4K</t>
    </r>
  </si>
  <si>
    <t>S00053</t>
  </si>
  <si>
    <r>
      <rPr>
        <rFont val="맑은 고딕"/>
        <color theme="1"/>
        <sz val="10.0"/>
      </rPr>
      <t>27</t>
    </r>
    <r>
      <rPr>
        <rFont val="Noto Sans CJK SC"/>
        <color theme="1"/>
        <sz val="10.0"/>
      </rPr>
      <t>인치 모니터</t>
    </r>
  </si>
  <si>
    <t>S00088</t>
  </si>
  <si>
    <t>S00130</t>
  </si>
  <si>
    <r>
      <rPr>
        <rFont val="맑은 고딕"/>
        <color theme="1"/>
        <sz val="10.0"/>
      </rPr>
      <t>27</t>
    </r>
    <r>
      <rPr>
        <rFont val="Noto Sans CJK SC"/>
        <color theme="1"/>
        <sz val="10.0"/>
      </rPr>
      <t>인치 모니터</t>
    </r>
  </si>
  <si>
    <r>
      <rPr>
        <rFont val="맑은 고딕"/>
        <color theme="1"/>
        <sz val="10.0"/>
      </rPr>
      <t xml:space="preserve">B2B </t>
    </r>
    <r>
      <rPr>
        <rFont val="Noto Sans CJK SC"/>
        <color theme="1"/>
        <sz val="10.0"/>
      </rPr>
      <t>직거래</t>
    </r>
  </si>
  <si>
    <t>S00161</t>
  </si>
  <si>
    <r>
      <rPr>
        <rFont val="Noto Sans CJK SC"/>
        <color theme="1"/>
        <sz val="10.0"/>
      </rPr>
      <t xml:space="preserve">외장 </t>
    </r>
    <r>
      <rPr>
        <rFont val="맑은 고딕"/>
        <color theme="1"/>
        <sz val="10.0"/>
      </rPr>
      <t>SSD 1TB</t>
    </r>
  </si>
  <si>
    <r>
      <rPr>
        <rFont val="맑은 고딕"/>
        <color theme="1"/>
        <sz val="10.0"/>
      </rPr>
      <t xml:space="preserve">B2B </t>
    </r>
    <r>
      <rPr>
        <rFont val="Noto Sans CJK SC"/>
        <color theme="1"/>
        <sz val="10.0"/>
      </rPr>
      <t>직거래</t>
    </r>
  </si>
  <si>
    <t>S00003</t>
  </si>
  <si>
    <t>2026-04-09</t>
  </si>
  <si>
    <r>
      <rPr>
        <rFont val="맑은 고딕"/>
        <color theme="1"/>
        <sz val="10.0"/>
      </rPr>
      <t xml:space="preserve">USB-C </t>
    </r>
    <r>
      <rPr>
        <rFont val="Noto Sans CJK SC"/>
        <color theme="1"/>
        <sz val="10.0"/>
      </rPr>
      <t>허브</t>
    </r>
  </si>
  <si>
    <t>S00106</t>
  </si>
  <si>
    <r>
      <rPr>
        <rFont val="Noto Sans CJK SC"/>
        <color theme="1"/>
        <sz val="10.0"/>
      </rPr>
      <t xml:space="preserve">외장 </t>
    </r>
    <r>
      <rPr>
        <rFont val="맑은 고딕"/>
        <color theme="1"/>
        <sz val="10.0"/>
      </rPr>
      <t>SSD 1TB</t>
    </r>
  </si>
  <si>
    <t>S00195</t>
  </si>
  <si>
    <t>S00200</t>
  </si>
  <si>
    <t>S00140</t>
  </si>
  <si>
    <t>2026-04-10</t>
  </si>
  <si>
    <t>S00009</t>
  </si>
  <si>
    <t>2026-04-11</t>
  </si>
  <si>
    <r>
      <rPr>
        <rFont val="맑은 고딕"/>
        <color theme="1"/>
        <sz val="10.0"/>
      </rPr>
      <t xml:space="preserve">USB-C </t>
    </r>
    <r>
      <rPr>
        <rFont val="Noto Sans CJK SC"/>
        <color theme="1"/>
        <sz val="10.0"/>
      </rPr>
      <t>허브</t>
    </r>
  </si>
  <si>
    <r>
      <rPr>
        <rFont val="맑은 고딕"/>
        <color theme="1"/>
        <sz val="10.0"/>
      </rPr>
      <t xml:space="preserve">B2B </t>
    </r>
    <r>
      <rPr>
        <rFont val="Noto Sans CJK SC"/>
        <color theme="1"/>
        <sz val="10.0"/>
      </rPr>
      <t>직거래</t>
    </r>
  </si>
  <si>
    <t>S00116</t>
  </si>
  <si>
    <r>
      <rPr>
        <rFont val="맑은 고딕"/>
        <color theme="1"/>
        <sz val="10.0"/>
      </rPr>
      <t xml:space="preserve">USB-C </t>
    </r>
    <r>
      <rPr>
        <rFont val="Noto Sans CJK SC"/>
        <color theme="1"/>
        <sz val="10.0"/>
      </rPr>
      <t>허브</t>
    </r>
  </si>
  <si>
    <r>
      <rPr>
        <rFont val="맑은 고딕"/>
        <color theme="1"/>
        <sz val="10.0"/>
      </rPr>
      <t xml:space="preserve">B2B </t>
    </r>
    <r>
      <rPr>
        <rFont val="Noto Sans CJK SC"/>
        <color theme="1"/>
        <sz val="10.0"/>
      </rPr>
      <t>직거래</t>
    </r>
  </si>
  <si>
    <t>S00163</t>
  </si>
  <si>
    <t>S00097</t>
  </si>
  <si>
    <t>2026-04-12</t>
  </si>
  <si>
    <r>
      <rPr>
        <rFont val="Noto Sans CJK SC"/>
        <color theme="1"/>
        <sz val="10.0"/>
      </rPr>
      <t xml:space="preserve">웹캠 </t>
    </r>
    <r>
      <rPr>
        <rFont val="맑은 고딕"/>
        <color theme="1"/>
        <sz val="10.0"/>
      </rPr>
      <t>4K</t>
    </r>
  </si>
  <si>
    <r>
      <rPr>
        <rFont val="맑은 고딕"/>
        <color theme="1"/>
        <sz val="10.0"/>
      </rPr>
      <t xml:space="preserve">B2B </t>
    </r>
    <r>
      <rPr>
        <rFont val="Noto Sans CJK SC"/>
        <color theme="1"/>
        <sz val="10.0"/>
      </rPr>
      <t>직거래</t>
    </r>
  </si>
  <si>
    <t>S00108</t>
  </si>
  <si>
    <r>
      <rPr>
        <rFont val="Noto Sans CJK SC"/>
        <color theme="1"/>
        <sz val="10.0"/>
      </rPr>
      <t xml:space="preserve">웹캠 </t>
    </r>
    <r>
      <rPr>
        <rFont val="맑은 고딕"/>
        <color theme="1"/>
        <sz val="10.0"/>
      </rPr>
      <t>4K</t>
    </r>
  </si>
  <si>
    <t>S00082</t>
  </si>
  <si>
    <t>2026-04-13</t>
  </si>
  <si>
    <t>S00085</t>
  </si>
  <si>
    <t>S00104</t>
  </si>
  <si>
    <r>
      <rPr>
        <rFont val="맑은 고딕"/>
        <color theme="1"/>
        <sz val="10.0"/>
      </rPr>
      <t>27</t>
    </r>
    <r>
      <rPr>
        <rFont val="Noto Sans CJK SC"/>
        <color theme="1"/>
        <sz val="10.0"/>
      </rPr>
      <t>인치 모니터</t>
    </r>
  </si>
  <si>
    <t>S00123</t>
  </si>
  <si>
    <t>S00028</t>
  </si>
  <si>
    <t>2026-04-14</t>
  </si>
  <si>
    <r>
      <rPr>
        <rFont val="맑은 고딕"/>
        <color theme="1"/>
        <sz val="10.0"/>
      </rPr>
      <t>27</t>
    </r>
    <r>
      <rPr>
        <rFont val="Noto Sans CJK SC"/>
        <color theme="1"/>
        <sz val="10.0"/>
      </rPr>
      <t>인치 모니터</t>
    </r>
  </si>
  <si>
    <t>S00064</t>
  </si>
  <si>
    <r>
      <rPr>
        <rFont val="맑은 고딕"/>
        <color theme="1"/>
        <sz val="10.0"/>
      </rPr>
      <t xml:space="preserve">USB-C </t>
    </r>
    <r>
      <rPr>
        <rFont val="Noto Sans CJK SC"/>
        <color theme="1"/>
        <sz val="10.0"/>
      </rPr>
      <t>허브</t>
    </r>
  </si>
  <si>
    <t>S00077</t>
  </si>
  <si>
    <t>S00183</t>
  </si>
  <si>
    <t>2026-04-15</t>
  </si>
  <si>
    <r>
      <rPr>
        <rFont val="맑은 고딕"/>
        <color theme="1"/>
        <sz val="10.0"/>
      </rPr>
      <t xml:space="preserve">B2B </t>
    </r>
    <r>
      <rPr>
        <rFont val="Noto Sans CJK SC"/>
        <color theme="1"/>
        <sz val="10.0"/>
      </rPr>
      <t>직거래</t>
    </r>
  </si>
  <si>
    <t>S00094</t>
  </si>
  <si>
    <t>2026-04-16</t>
  </si>
  <si>
    <r>
      <rPr>
        <rFont val="Noto Sans CJK SC"/>
        <color theme="1"/>
        <sz val="10.0"/>
      </rPr>
      <t xml:space="preserve">외장 </t>
    </r>
    <r>
      <rPr>
        <rFont val="맑은 고딕"/>
        <color theme="1"/>
        <sz val="10.0"/>
      </rPr>
      <t>SSD 1TB</t>
    </r>
  </si>
  <si>
    <r>
      <rPr>
        <rFont val="맑은 고딕"/>
        <color theme="1"/>
        <sz val="10.0"/>
      </rPr>
      <t xml:space="preserve">B2B </t>
    </r>
    <r>
      <rPr>
        <rFont val="Noto Sans CJK SC"/>
        <color theme="1"/>
        <sz val="10.0"/>
      </rPr>
      <t>직거래</t>
    </r>
  </si>
  <si>
    <t>S00175</t>
  </si>
  <si>
    <r>
      <rPr>
        <rFont val="Noto Sans CJK SC"/>
        <color theme="1"/>
        <sz val="10.0"/>
      </rPr>
      <t xml:space="preserve">웹캠 </t>
    </r>
    <r>
      <rPr>
        <rFont val="맑은 고딕"/>
        <color theme="1"/>
        <sz val="10.0"/>
      </rPr>
      <t>4K</t>
    </r>
  </si>
  <si>
    <r>
      <rPr>
        <rFont val="맑은 고딕"/>
        <color theme="1"/>
        <sz val="10.0"/>
      </rPr>
      <t xml:space="preserve">B2B </t>
    </r>
    <r>
      <rPr>
        <rFont val="Noto Sans CJK SC"/>
        <color theme="1"/>
        <sz val="10.0"/>
      </rPr>
      <t>직거래</t>
    </r>
  </si>
  <si>
    <t>S00054</t>
  </si>
  <si>
    <t>2026-04-17</t>
  </si>
  <si>
    <r>
      <rPr>
        <rFont val="맑은 고딕"/>
        <color theme="1"/>
        <sz val="10.0"/>
      </rPr>
      <t xml:space="preserve">B2B </t>
    </r>
    <r>
      <rPr>
        <rFont val="Noto Sans CJK SC"/>
        <color theme="1"/>
        <sz val="10.0"/>
      </rPr>
      <t>직거래</t>
    </r>
  </si>
  <si>
    <t>S00152</t>
  </si>
  <si>
    <t>2026-04-19</t>
  </si>
  <si>
    <r>
      <rPr>
        <rFont val="맑은 고딕"/>
        <color theme="1"/>
        <sz val="10.0"/>
      </rPr>
      <t xml:space="preserve">USB-C </t>
    </r>
    <r>
      <rPr>
        <rFont val="Noto Sans CJK SC"/>
        <color theme="1"/>
        <sz val="10.0"/>
      </rPr>
      <t>허브</t>
    </r>
  </si>
  <si>
    <t>S00185</t>
  </si>
  <si>
    <t>S00061</t>
  </si>
  <si>
    <t>2026-04-21</t>
  </si>
  <si>
    <t>S00092</t>
  </si>
  <si>
    <t>S00112</t>
  </si>
  <si>
    <t>S00188</t>
  </si>
  <si>
    <t>S00006</t>
  </si>
  <si>
    <t>2026-04-22</t>
  </si>
  <si>
    <t>S00019</t>
  </si>
  <si>
    <r>
      <rPr>
        <rFont val="맑은 고딕"/>
        <color theme="1"/>
        <sz val="10.0"/>
      </rPr>
      <t xml:space="preserve">USB-C </t>
    </r>
    <r>
      <rPr>
        <rFont val="Noto Sans CJK SC"/>
        <color theme="1"/>
        <sz val="10.0"/>
      </rPr>
      <t>허브</t>
    </r>
  </si>
  <si>
    <r>
      <rPr>
        <rFont val="맑은 고딕"/>
        <color theme="1"/>
        <sz val="10.0"/>
      </rPr>
      <t xml:space="preserve">B2B </t>
    </r>
    <r>
      <rPr>
        <rFont val="Noto Sans CJK SC"/>
        <color theme="1"/>
        <sz val="10.0"/>
      </rPr>
      <t>직거래</t>
    </r>
  </si>
  <si>
    <t>S00059</t>
  </si>
  <si>
    <r>
      <rPr>
        <rFont val="맑은 고딕"/>
        <color theme="1"/>
        <sz val="10.0"/>
      </rPr>
      <t xml:space="preserve">B2B </t>
    </r>
    <r>
      <rPr>
        <rFont val="Noto Sans CJK SC"/>
        <color theme="1"/>
        <sz val="10.0"/>
      </rPr>
      <t>직거래</t>
    </r>
  </si>
  <si>
    <t>S00084</t>
  </si>
  <si>
    <r>
      <rPr>
        <rFont val="맑은 고딕"/>
        <color theme="1"/>
        <sz val="10.0"/>
      </rPr>
      <t xml:space="preserve">B2B </t>
    </r>
    <r>
      <rPr>
        <rFont val="Noto Sans CJK SC"/>
        <color theme="1"/>
        <sz val="10.0"/>
      </rPr>
      <t>직거래</t>
    </r>
  </si>
  <si>
    <t>S00124</t>
  </si>
  <si>
    <t>2026-04-23</t>
  </si>
  <si>
    <t>S00018</t>
  </si>
  <si>
    <t>2026-04-24</t>
  </si>
  <si>
    <t>S00023</t>
  </si>
  <si>
    <t>2026-04-25</t>
  </si>
  <si>
    <r>
      <rPr>
        <rFont val="Noto Sans CJK SC"/>
        <color theme="1"/>
        <sz val="10.0"/>
      </rPr>
      <t xml:space="preserve">외장 </t>
    </r>
    <r>
      <rPr>
        <rFont val="맑은 고딕"/>
        <color theme="1"/>
        <sz val="10.0"/>
      </rPr>
      <t>SSD 1TB</t>
    </r>
  </si>
  <si>
    <t>S00063</t>
  </si>
  <si>
    <r>
      <rPr>
        <rFont val="Noto Sans CJK SC"/>
        <color theme="1"/>
        <sz val="10.0"/>
      </rPr>
      <t xml:space="preserve">외장 </t>
    </r>
    <r>
      <rPr>
        <rFont val="맑은 고딕"/>
        <color theme="1"/>
        <sz val="10.0"/>
      </rPr>
      <t>SSD 1TB</t>
    </r>
  </si>
  <si>
    <t>S00071</t>
  </si>
  <si>
    <r>
      <rPr>
        <rFont val="Noto Sans CJK SC"/>
        <color theme="1"/>
        <sz val="10.0"/>
      </rPr>
      <t xml:space="preserve">웹캠 </t>
    </r>
    <r>
      <rPr>
        <rFont val="맑은 고딕"/>
        <color theme="1"/>
        <sz val="10.0"/>
      </rPr>
      <t>4K</t>
    </r>
  </si>
  <si>
    <t>S00031</t>
  </si>
  <si>
    <t>2026-04-26</t>
  </si>
  <si>
    <t>S00041</t>
  </si>
  <si>
    <r>
      <rPr>
        <rFont val="맑은 고딕"/>
        <color theme="1"/>
        <sz val="10.0"/>
      </rPr>
      <t xml:space="preserve">B2B </t>
    </r>
    <r>
      <rPr>
        <rFont val="Noto Sans CJK SC"/>
        <color theme="1"/>
        <sz val="10.0"/>
      </rPr>
      <t>직거래</t>
    </r>
  </si>
  <si>
    <t>S00168</t>
  </si>
  <si>
    <t>S00032</t>
  </si>
  <si>
    <t>2026-04-28</t>
  </si>
  <si>
    <r>
      <rPr>
        <rFont val="맑은 고딕"/>
        <color theme="1"/>
        <sz val="10.0"/>
      </rPr>
      <t>27</t>
    </r>
    <r>
      <rPr>
        <rFont val="Noto Sans CJK SC"/>
        <color theme="1"/>
        <sz val="10.0"/>
      </rPr>
      <t>인치 모니터</t>
    </r>
  </si>
  <si>
    <t>S00093</t>
  </si>
  <si>
    <t>S00145</t>
  </si>
  <si>
    <t>S00172</t>
  </si>
  <si>
    <t>S00038</t>
  </si>
  <si>
    <t>2026-04-29</t>
  </si>
  <si>
    <r>
      <rPr>
        <rFont val="맑은 고딕"/>
        <color theme="1"/>
        <sz val="10.0"/>
      </rPr>
      <t xml:space="preserve">B2B </t>
    </r>
    <r>
      <rPr>
        <rFont val="Noto Sans CJK SC"/>
        <color theme="1"/>
        <sz val="10.0"/>
      </rPr>
      <t>직거래</t>
    </r>
  </si>
  <si>
    <t>S00070</t>
  </si>
  <si>
    <t>S00164</t>
  </si>
  <si>
    <t>S00035</t>
  </si>
  <si>
    <t>2026-05-01</t>
  </si>
  <si>
    <r>
      <rPr>
        <rFont val="맑은 고딕"/>
        <color theme="1"/>
        <sz val="10.0"/>
      </rPr>
      <t xml:space="preserve">B2B </t>
    </r>
    <r>
      <rPr>
        <rFont val="Noto Sans CJK SC"/>
        <color theme="1"/>
        <sz val="10.0"/>
      </rPr>
      <t>직거래</t>
    </r>
  </si>
  <si>
    <t>S00056</t>
  </si>
  <si>
    <t>2026-05-02</t>
  </si>
  <si>
    <r>
      <rPr>
        <rFont val="맑은 고딕"/>
        <color theme="1"/>
        <sz val="10.0"/>
      </rPr>
      <t>27</t>
    </r>
    <r>
      <rPr>
        <rFont val="Noto Sans CJK SC"/>
        <color theme="1"/>
        <sz val="10.0"/>
      </rPr>
      <t>인치 모니터</t>
    </r>
  </si>
  <si>
    <t>S00060</t>
  </si>
  <si>
    <r>
      <rPr>
        <rFont val="맑은 고딕"/>
        <color theme="1"/>
        <sz val="10.0"/>
      </rPr>
      <t xml:space="preserve">USB-C </t>
    </r>
    <r>
      <rPr>
        <rFont val="Noto Sans CJK SC"/>
        <color theme="1"/>
        <sz val="10.0"/>
      </rPr>
      <t>허브</t>
    </r>
  </si>
  <si>
    <r>
      <rPr>
        <rFont val="맑은 고딕"/>
        <color theme="1"/>
        <sz val="10.0"/>
      </rPr>
      <t xml:space="preserve">B2B </t>
    </r>
    <r>
      <rPr>
        <rFont val="Noto Sans CJK SC"/>
        <color theme="1"/>
        <sz val="10.0"/>
      </rPr>
      <t>직거래</t>
    </r>
  </si>
  <si>
    <t>S00089</t>
  </si>
  <si>
    <r>
      <rPr>
        <rFont val="맑은 고딕"/>
        <color theme="1"/>
        <sz val="10.0"/>
      </rPr>
      <t xml:space="preserve">USB-C </t>
    </r>
    <r>
      <rPr>
        <rFont val="Noto Sans CJK SC"/>
        <color theme="1"/>
        <sz val="10.0"/>
      </rPr>
      <t>허브</t>
    </r>
  </si>
  <si>
    <t>S00102</t>
  </si>
  <si>
    <r>
      <rPr>
        <rFont val="맑은 고딕"/>
        <color theme="1"/>
        <sz val="10.0"/>
      </rPr>
      <t>27</t>
    </r>
    <r>
      <rPr>
        <rFont val="Noto Sans CJK SC"/>
        <color theme="1"/>
        <sz val="10.0"/>
      </rPr>
      <t>인치 모니터</t>
    </r>
  </si>
  <si>
    <t>S00160</t>
  </si>
  <si>
    <r>
      <rPr>
        <rFont val="Noto Sans CJK SC"/>
        <color theme="1"/>
        <sz val="10.0"/>
      </rPr>
      <t xml:space="preserve">외장 </t>
    </r>
    <r>
      <rPr>
        <rFont val="맑은 고딕"/>
        <color theme="1"/>
        <sz val="10.0"/>
      </rPr>
      <t>SSD 1TB</t>
    </r>
  </si>
  <si>
    <r>
      <rPr>
        <rFont val="맑은 고딕"/>
        <color theme="1"/>
        <sz val="10.0"/>
      </rPr>
      <t xml:space="preserve">B2B </t>
    </r>
    <r>
      <rPr>
        <rFont val="Noto Sans CJK SC"/>
        <color theme="1"/>
        <sz val="10.0"/>
      </rPr>
      <t>직거래</t>
    </r>
  </si>
  <si>
    <t>S00001</t>
  </si>
  <si>
    <t>2026-05-03</t>
  </si>
  <si>
    <r>
      <rPr>
        <rFont val="Noto Sans CJK SC"/>
        <color theme="1"/>
        <sz val="10.0"/>
      </rPr>
      <t xml:space="preserve">노트북 </t>
    </r>
    <r>
      <rPr>
        <rFont val="맑은 고딕"/>
        <color theme="1"/>
        <sz val="10.0"/>
      </rPr>
      <t>Pro 15</t>
    </r>
  </si>
  <si>
    <t>S00074</t>
  </si>
  <si>
    <t>S00186</t>
  </si>
  <si>
    <r>
      <rPr>
        <rFont val="맑은 고딕"/>
        <color theme="1"/>
        <sz val="10.0"/>
      </rPr>
      <t xml:space="preserve">B2B </t>
    </r>
    <r>
      <rPr>
        <rFont val="Noto Sans CJK SC"/>
        <color theme="1"/>
        <sz val="10.0"/>
      </rPr>
      <t>직거래</t>
    </r>
  </si>
  <si>
    <t>S00132</t>
  </si>
  <si>
    <t>2026-05-04</t>
  </si>
  <si>
    <t>S00159</t>
  </si>
  <si>
    <r>
      <rPr>
        <rFont val="맑은 고딕"/>
        <color theme="1"/>
        <sz val="10.0"/>
      </rPr>
      <t>27</t>
    </r>
    <r>
      <rPr>
        <rFont val="Noto Sans CJK SC"/>
        <color theme="1"/>
        <sz val="10.0"/>
      </rPr>
      <t>인치 모니터</t>
    </r>
  </si>
  <si>
    <t>S00176</t>
  </si>
  <si>
    <r>
      <rPr>
        <rFont val="맑은 고딕"/>
        <color theme="1"/>
        <sz val="10.0"/>
      </rPr>
      <t xml:space="preserve">B2B </t>
    </r>
    <r>
      <rPr>
        <rFont val="Noto Sans CJK SC"/>
        <color theme="1"/>
        <sz val="10.0"/>
      </rPr>
      <t>직거래</t>
    </r>
  </si>
  <si>
    <t>S00027</t>
  </si>
  <si>
    <t>2026-05-05</t>
  </si>
  <si>
    <r>
      <rPr>
        <rFont val="Noto Sans CJK SC"/>
        <color theme="1"/>
        <sz val="10.0"/>
      </rPr>
      <t xml:space="preserve">노트북 </t>
    </r>
    <r>
      <rPr>
        <rFont val="맑은 고딕"/>
        <color theme="1"/>
        <sz val="10.0"/>
      </rPr>
      <t>Pro 15</t>
    </r>
  </si>
  <si>
    <t>S00068</t>
  </si>
  <si>
    <r>
      <rPr>
        <rFont val="Noto Sans CJK SC"/>
        <color theme="1"/>
        <sz val="10.0"/>
      </rPr>
      <t xml:space="preserve">노트북 </t>
    </r>
    <r>
      <rPr>
        <rFont val="맑은 고딕"/>
        <color theme="1"/>
        <sz val="10.0"/>
      </rPr>
      <t>Pro 15</t>
    </r>
  </si>
  <si>
    <t>S00127</t>
  </si>
  <si>
    <t>S00129</t>
  </si>
  <si>
    <r>
      <rPr>
        <rFont val="Noto Sans CJK SC"/>
        <color theme="1"/>
        <sz val="10.0"/>
      </rPr>
      <t xml:space="preserve">외장 </t>
    </r>
    <r>
      <rPr>
        <rFont val="맑은 고딕"/>
        <color theme="1"/>
        <sz val="10.0"/>
      </rPr>
      <t>SSD 1TB</t>
    </r>
  </si>
  <si>
    <r>
      <rPr>
        <rFont val="맑은 고딕"/>
        <color theme="1"/>
        <sz val="10.0"/>
      </rPr>
      <t xml:space="preserve">B2B </t>
    </r>
    <r>
      <rPr>
        <rFont val="Noto Sans CJK SC"/>
        <color theme="1"/>
        <sz val="10.0"/>
      </rPr>
      <t>직거래</t>
    </r>
  </si>
  <si>
    <t>S00024</t>
  </si>
  <si>
    <t>2026-05-06</t>
  </si>
  <si>
    <t>S00037</t>
  </si>
  <si>
    <r>
      <rPr>
        <rFont val="맑은 고딕"/>
        <color theme="1"/>
        <sz val="10.0"/>
      </rPr>
      <t xml:space="preserve">B2B </t>
    </r>
    <r>
      <rPr>
        <rFont val="Noto Sans CJK SC"/>
        <color theme="1"/>
        <sz val="10.0"/>
      </rPr>
      <t>직거래</t>
    </r>
  </si>
  <si>
    <t>S00119</t>
  </si>
  <si>
    <r>
      <rPr>
        <rFont val="맑은 고딕"/>
        <color theme="1"/>
        <sz val="10.0"/>
      </rPr>
      <t xml:space="preserve">USB-C </t>
    </r>
    <r>
      <rPr>
        <rFont val="Noto Sans CJK SC"/>
        <color theme="1"/>
        <sz val="10.0"/>
      </rPr>
      <t>허브</t>
    </r>
  </si>
  <si>
    <t>S00137</t>
  </si>
  <si>
    <r>
      <rPr>
        <rFont val="맑은 고딕"/>
        <color theme="1"/>
        <sz val="10.0"/>
      </rPr>
      <t xml:space="preserve">USB-C </t>
    </r>
    <r>
      <rPr>
        <rFont val="Noto Sans CJK SC"/>
        <color theme="1"/>
        <sz val="10.0"/>
      </rPr>
      <t>허브</t>
    </r>
  </si>
  <si>
    <t>S00187</t>
  </si>
  <si>
    <t>S00020</t>
  </si>
  <si>
    <t>2026-05-07</t>
  </si>
  <si>
    <t>S00144</t>
  </si>
  <si>
    <r>
      <rPr>
        <rFont val="Noto Sans CJK SC"/>
        <color theme="1"/>
        <sz val="10.0"/>
      </rPr>
      <t xml:space="preserve">웹캠 </t>
    </r>
    <r>
      <rPr>
        <rFont val="맑은 고딕"/>
        <color theme="1"/>
        <sz val="10.0"/>
      </rPr>
      <t>4K</t>
    </r>
  </si>
  <si>
    <t>S00125</t>
  </si>
  <si>
    <t>2026-05-08</t>
  </si>
  <si>
    <r>
      <rPr>
        <rFont val="맑은 고딕"/>
        <color theme="1"/>
        <sz val="10.0"/>
      </rPr>
      <t xml:space="preserve">USB-C </t>
    </r>
    <r>
      <rPr>
        <rFont val="Noto Sans CJK SC"/>
        <color theme="1"/>
        <sz val="10.0"/>
      </rPr>
      <t>허브</t>
    </r>
  </si>
  <si>
    <t>S00013</t>
  </si>
  <si>
    <t>2026-05-09</t>
  </si>
  <si>
    <t>S00014</t>
  </si>
  <si>
    <r>
      <rPr>
        <rFont val="맑은 고딕"/>
        <color theme="1"/>
        <sz val="10.0"/>
      </rPr>
      <t xml:space="preserve">USB-C </t>
    </r>
    <r>
      <rPr>
        <rFont val="Noto Sans CJK SC"/>
        <color theme="1"/>
        <sz val="10.0"/>
      </rPr>
      <t>허브</t>
    </r>
  </si>
  <si>
    <t>S00042</t>
  </si>
  <si>
    <t>S00072</t>
  </si>
  <si>
    <t>S00091</t>
  </si>
  <si>
    <r>
      <rPr>
        <rFont val="맑은 고딕"/>
        <color theme="1"/>
        <sz val="10.0"/>
      </rPr>
      <t xml:space="preserve">USB-C </t>
    </r>
    <r>
      <rPr>
        <rFont val="Noto Sans CJK SC"/>
        <color theme="1"/>
        <sz val="10.0"/>
      </rPr>
      <t>허브</t>
    </r>
  </si>
  <si>
    <t>S00138</t>
  </si>
  <si>
    <r>
      <rPr>
        <rFont val="Noto Sans CJK SC"/>
        <color theme="1"/>
        <sz val="10.0"/>
      </rPr>
      <t xml:space="preserve">외장 </t>
    </r>
    <r>
      <rPr>
        <rFont val="맑은 고딕"/>
        <color theme="1"/>
        <sz val="10.0"/>
      </rPr>
      <t>SSD 1TB</t>
    </r>
  </si>
  <si>
    <r>
      <rPr>
        <rFont val="맑은 고딕"/>
        <color theme="1"/>
        <sz val="10.0"/>
      </rPr>
      <t xml:space="preserve">B2B </t>
    </r>
    <r>
      <rPr>
        <rFont val="Noto Sans CJK SC"/>
        <color theme="1"/>
        <sz val="10.0"/>
      </rPr>
      <t>직거래</t>
    </r>
  </si>
  <si>
    <t>S00098</t>
  </si>
  <si>
    <t>2026-05-10</t>
  </si>
  <si>
    <r>
      <rPr>
        <rFont val="맑은 고딕"/>
        <color theme="1"/>
        <sz val="10.0"/>
      </rPr>
      <t xml:space="preserve">USB-C </t>
    </r>
    <r>
      <rPr>
        <rFont val="Noto Sans CJK SC"/>
        <color theme="1"/>
        <sz val="10.0"/>
      </rPr>
      <t>허브</t>
    </r>
  </si>
  <si>
    <t>입고번호</t>
  </si>
  <si>
    <t>입고일자</t>
  </si>
  <si>
    <t>입고수량</t>
  </si>
  <si>
    <t>매입단가</t>
  </si>
  <si>
    <t>입고금액</t>
  </si>
  <si>
    <t>창고</t>
  </si>
  <si>
    <t>검수자</t>
  </si>
  <si>
    <t>상태</t>
  </si>
  <si>
    <t>IN0044</t>
  </si>
  <si>
    <t>부산 지점창고</t>
  </si>
  <si>
    <t>정상입고</t>
  </si>
  <si>
    <t>IN0039</t>
  </si>
  <si>
    <r>
      <rPr>
        <rFont val="Noto Sans CJK SC"/>
        <color theme="1"/>
        <sz val="10.0"/>
      </rPr>
      <t xml:space="preserve">노트북 </t>
    </r>
    <r>
      <rPr>
        <rFont val="맑은 고딕"/>
        <color theme="1"/>
        <sz val="10.0"/>
      </rPr>
      <t>Pro 15</t>
    </r>
  </si>
  <si>
    <t>춘천 본창고</t>
  </si>
  <si>
    <t>이검수</t>
  </si>
  <si>
    <t>IN0031</t>
  </si>
  <si>
    <r>
      <rPr>
        <rFont val="Noto Sans CJK SC"/>
        <color theme="1"/>
        <sz val="10.0"/>
      </rPr>
      <t xml:space="preserve">노트북 </t>
    </r>
    <r>
      <rPr>
        <rFont val="맑은 고딕"/>
        <color theme="1"/>
        <sz val="10.0"/>
      </rPr>
      <t>Pro 15</t>
    </r>
  </si>
  <si>
    <t>서울 물류센터</t>
  </si>
  <si>
    <t>부분불량</t>
  </si>
  <si>
    <t>IN0047</t>
  </si>
  <si>
    <t>IN0001</t>
  </si>
  <si>
    <r>
      <rPr>
        <rFont val="Noto Sans CJK SC"/>
        <color theme="1"/>
        <sz val="10.0"/>
      </rPr>
      <t xml:space="preserve">외장 </t>
    </r>
    <r>
      <rPr>
        <rFont val="맑은 고딕"/>
        <color theme="1"/>
        <sz val="10.0"/>
      </rPr>
      <t>SSD 1TB</t>
    </r>
  </si>
  <si>
    <t>김창고</t>
  </si>
  <si>
    <t>IN0060</t>
  </si>
  <si>
    <t>IN0007</t>
  </si>
  <si>
    <t>IN0015</t>
  </si>
  <si>
    <t>IN0010</t>
  </si>
  <si>
    <t>IN0011</t>
  </si>
  <si>
    <r>
      <rPr>
        <rFont val="Noto Sans CJK SC"/>
        <color theme="1"/>
        <sz val="10.0"/>
      </rPr>
      <t xml:space="preserve">웹캠 </t>
    </r>
    <r>
      <rPr>
        <rFont val="맑은 고딕"/>
        <color theme="1"/>
        <sz val="10.0"/>
      </rPr>
      <t>4K</t>
    </r>
  </si>
  <si>
    <t>IN0037</t>
  </si>
  <si>
    <t>IN0041</t>
  </si>
  <si>
    <t>IN0052</t>
  </si>
  <si>
    <t>IN0026</t>
  </si>
  <si>
    <t>IN0016</t>
  </si>
  <si>
    <t>IN0050</t>
  </si>
  <si>
    <r>
      <rPr>
        <rFont val="Noto Sans CJK SC"/>
        <color theme="1"/>
        <sz val="10.0"/>
      </rPr>
      <t xml:space="preserve">웹캠 </t>
    </r>
    <r>
      <rPr>
        <rFont val="맑은 고딕"/>
        <color theme="1"/>
        <sz val="10.0"/>
      </rPr>
      <t>4K</t>
    </r>
  </si>
  <si>
    <t>IN0022</t>
  </si>
  <si>
    <r>
      <rPr>
        <rFont val="Noto Sans CJK SC"/>
        <color theme="1"/>
        <sz val="10.0"/>
      </rPr>
      <t xml:space="preserve">외장 </t>
    </r>
    <r>
      <rPr>
        <rFont val="맑은 고딕"/>
        <color theme="1"/>
        <sz val="10.0"/>
      </rPr>
      <t>SSD 1TB</t>
    </r>
  </si>
  <si>
    <t>IN0005</t>
  </si>
  <si>
    <t>IN0057</t>
  </si>
  <si>
    <t>2026-03-09</t>
  </si>
  <si>
    <r>
      <rPr>
        <rFont val="Noto Sans CJK SC"/>
        <color theme="1"/>
        <sz val="10.0"/>
      </rPr>
      <t xml:space="preserve">외장 </t>
    </r>
    <r>
      <rPr>
        <rFont val="맑은 고딕"/>
        <color theme="1"/>
        <sz val="10.0"/>
      </rPr>
      <t>SSD 1TB</t>
    </r>
  </si>
  <si>
    <t>IN0056</t>
  </si>
  <si>
    <t>IN0058</t>
  </si>
  <si>
    <r>
      <rPr>
        <rFont val="맑은 고딕"/>
        <color theme="1"/>
        <sz val="10.0"/>
      </rPr>
      <t xml:space="preserve">USB-C </t>
    </r>
    <r>
      <rPr>
        <rFont val="Noto Sans CJK SC"/>
        <color theme="1"/>
        <sz val="10.0"/>
      </rPr>
      <t>허브</t>
    </r>
  </si>
  <si>
    <t>IN0012</t>
  </si>
  <si>
    <t>IN0009</t>
  </si>
  <si>
    <t>IN0025</t>
  </si>
  <si>
    <r>
      <rPr>
        <rFont val="맑은 고딕"/>
        <color theme="1"/>
        <sz val="10.0"/>
      </rPr>
      <t>27</t>
    </r>
    <r>
      <rPr>
        <rFont val="Noto Sans CJK SC"/>
        <color theme="1"/>
        <sz val="10.0"/>
      </rPr>
      <t>인치 모니터</t>
    </r>
  </si>
  <si>
    <t>IN0028</t>
  </si>
  <si>
    <r>
      <rPr>
        <rFont val="맑은 고딕"/>
        <color theme="1"/>
        <sz val="10.0"/>
      </rPr>
      <t>27</t>
    </r>
    <r>
      <rPr>
        <rFont val="Noto Sans CJK SC"/>
        <color theme="1"/>
        <sz val="10.0"/>
      </rPr>
      <t>인치 모니터</t>
    </r>
  </si>
  <si>
    <t>IN0017</t>
  </si>
  <si>
    <t>IN0024</t>
  </si>
  <si>
    <r>
      <rPr>
        <rFont val="Noto Sans CJK SC"/>
        <color theme="1"/>
        <sz val="10.0"/>
      </rPr>
      <t xml:space="preserve">웹캠 </t>
    </r>
    <r>
      <rPr>
        <rFont val="맑은 고딕"/>
        <color theme="1"/>
        <sz val="10.0"/>
      </rPr>
      <t>4K</t>
    </r>
  </si>
  <si>
    <t>IN0034</t>
  </si>
  <si>
    <r>
      <rPr>
        <rFont val="Noto Sans CJK SC"/>
        <color theme="1"/>
        <sz val="10.0"/>
      </rPr>
      <t xml:space="preserve">노트북 </t>
    </r>
    <r>
      <rPr>
        <rFont val="맑은 고딕"/>
        <color theme="1"/>
        <sz val="10.0"/>
      </rPr>
      <t>Pro 15</t>
    </r>
  </si>
  <si>
    <t>IN0035</t>
  </si>
  <si>
    <t>IN0038</t>
  </si>
  <si>
    <t>IN0030</t>
  </si>
  <si>
    <t>IN0059</t>
  </si>
  <si>
    <t>IN0019</t>
  </si>
  <si>
    <t>IN0027</t>
  </si>
  <si>
    <r>
      <rPr>
        <rFont val="맑은 고딕"/>
        <color theme="1"/>
        <sz val="10.0"/>
      </rPr>
      <t>27</t>
    </r>
    <r>
      <rPr>
        <rFont val="Noto Sans CJK SC"/>
        <color theme="1"/>
        <sz val="10.0"/>
      </rPr>
      <t>인치 모니터</t>
    </r>
  </si>
  <si>
    <t>IN0033</t>
  </si>
  <si>
    <t>IN0029</t>
  </si>
  <si>
    <r>
      <rPr>
        <rFont val="Noto Sans CJK SC"/>
        <color theme="1"/>
        <sz val="10.0"/>
      </rPr>
      <t xml:space="preserve">외장 </t>
    </r>
    <r>
      <rPr>
        <rFont val="맑은 고딕"/>
        <color theme="1"/>
        <sz val="10.0"/>
      </rPr>
      <t>SSD 1TB</t>
    </r>
  </si>
  <si>
    <t>IN0040</t>
  </si>
  <si>
    <t>IN0053</t>
  </si>
  <si>
    <t>IN0013</t>
  </si>
  <si>
    <t>2026-04-18</t>
  </si>
  <si>
    <r>
      <rPr>
        <rFont val="맑은 고딕"/>
        <color theme="1"/>
        <sz val="10.0"/>
      </rPr>
      <t xml:space="preserve">USB-C </t>
    </r>
    <r>
      <rPr>
        <rFont val="Noto Sans CJK SC"/>
        <color theme="1"/>
        <sz val="10.0"/>
      </rPr>
      <t>허브</t>
    </r>
  </si>
  <si>
    <t>IN0008</t>
  </si>
  <si>
    <r>
      <rPr>
        <rFont val="Noto Sans CJK SC"/>
        <color theme="1"/>
        <sz val="10.0"/>
      </rPr>
      <t xml:space="preserve">웹캠 </t>
    </r>
    <r>
      <rPr>
        <rFont val="맑은 고딕"/>
        <color theme="1"/>
        <sz val="10.0"/>
      </rPr>
      <t>4K</t>
    </r>
  </si>
  <si>
    <t>IN0043</t>
  </si>
  <si>
    <t>2026-04-20</t>
  </si>
  <si>
    <r>
      <rPr>
        <rFont val="Noto Sans CJK SC"/>
        <color theme="1"/>
        <sz val="10.0"/>
      </rPr>
      <t xml:space="preserve">외장 </t>
    </r>
    <r>
      <rPr>
        <rFont val="맑은 고딕"/>
        <color theme="1"/>
        <sz val="10.0"/>
      </rPr>
      <t>SSD 1TB</t>
    </r>
  </si>
  <si>
    <t>IN0054</t>
  </si>
  <si>
    <t>IN0003</t>
  </si>
  <si>
    <r>
      <rPr>
        <rFont val="맑은 고딕"/>
        <color theme="1"/>
        <sz val="10.0"/>
      </rPr>
      <t xml:space="preserve">USB-C </t>
    </r>
    <r>
      <rPr>
        <rFont val="Noto Sans CJK SC"/>
        <color theme="1"/>
        <sz val="10.0"/>
      </rPr>
      <t>허브</t>
    </r>
  </si>
  <si>
    <t>IN0020</t>
  </si>
  <si>
    <r>
      <rPr>
        <rFont val="맑은 고딕"/>
        <color theme="1"/>
        <sz val="10.0"/>
      </rPr>
      <t xml:space="preserve">USB-C </t>
    </r>
    <r>
      <rPr>
        <rFont val="Noto Sans CJK SC"/>
        <color theme="1"/>
        <sz val="10.0"/>
      </rPr>
      <t>허브</t>
    </r>
  </si>
  <si>
    <t>IN0014</t>
  </si>
  <si>
    <r>
      <rPr>
        <rFont val="맑은 고딕"/>
        <color theme="1"/>
        <sz val="10.0"/>
      </rPr>
      <t xml:space="preserve">USB-C </t>
    </r>
    <r>
      <rPr>
        <rFont val="Noto Sans CJK SC"/>
        <color theme="1"/>
        <sz val="10.0"/>
      </rPr>
      <t>허브</t>
    </r>
  </si>
  <si>
    <t>IN0036</t>
  </si>
  <si>
    <r>
      <rPr>
        <rFont val="맑은 고딕"/>
        <color theme="1"/>
        <sz val="10.0"/>
      </rPr>
      <t xml:space="preserve">USB-C </t>
    </r>
    <r>
      <rPr>
        <rFont val="Noto Sans CJK SC"/>
        <color theme="1"/>
        <sz val="10.0"/>
      </rPr>
      <t>허브</t>
    </r>
  </si>
  <si>
    <t>IN0006</t>
  </si>
  <si>
    <t>IN0045</t>
  </si>
  <si>
    <r>
      <rPr>
        <rFont val="맑은 고딕"/>
        <color theme="1"/>
        <sz val="10.0"/>
      </rPr>
      <t xml:space="preserve">USB-C </t>
    </r>
    <r>
      <rPr>
        <rFont val="Noto Sans CJK SC"/>
        <color theme="1"/>
        <sz val="10.0"/>
      </rPr>
      <t>허브</t>
    </r>
  </si>
  <si>
    <t>IN0046</t>
  </si>
  <si>
    <r>
      <rPr>
        <rFont val="Noto Sans CJK SC"/>
        <color theme="1"/>
        <sz val="10.0"/>
      </rPr>
      <t xml:space="preserve">외장 </t>
    </r>
    <r>
      <rPr>
        <rFont val="맑은 고딕"/>
        <color theme="1"/>
        <sz val="10.0"/>
      </rPr>
      <t>SSD 1TB</t>
    </r>
  </si>
  <si>
    <t>IN0023</t>
  </si>
  <si>
    <t>IN0042</t>
  </si>
  <si>
    <t>2026-04-30</t>
  </si>
  <si>
    <r>
      <rPr>
        <rFont val="맑은 고딕"/>
        <color theme="1"/>
        <sz val="10.0"/>
      </rPr>
      <t xml:space="preserve">USB-C </t>
    </r>
    <r>
      <rPr>
        <rFont val="Noto Sans CJK SC"/>
        <color theme="1"/>
        <sz val="10.0"/>
      </rPr>
      <t>허브</t>
    </r>
  </si>
  <si>
    <t>IN0051</t>
  </si>
  <si>
    <r>
      <rPr>
        <rFont val="Noto Sans CJK SC"/>
        <color theme="1"/>
        <sz val="10.0"/>
      </rPr>
      <t xml:space="preserve">외장 </t>
    </r>
    <r>
      <rPr>
        <rFont val="맑은 고딕"/>
        <color theme="1"/>
        <sz val="10.0"/>
      </rPr>
      <t>SSD 1TB</t>
    </r>
  </si>
  <si>
    <t>IN0048</t>
  </si>
  <si>
    <r>
      <rPr>
        <rFont val="Noto Sans CJK SC"/>
        <color theme="1"/>
        <sz val="10.0"/>
      </rPr>
      <t xml:space="preserve">웹캠 </t>
    </r>
    <r>
      <rPr>
        <rFont val="맑은 고딕"/>
        <color theme="1"/>
        <sz val="10.0"/>
      </rPr>
      <t>4K</t>
    </r>
  </si>
  <si>
    <t>IN0018</t>
  </si>
  <si>
    <t>IN0032</t>
  </si>
  <si>
    <r>
      <rPr>
        <rFont val="Noto Sans CJK SC"/>
        <color theme="1"/>
        <sz val="10.0"/>
      </rPr>
      <t xml:space="preserve">외장 </t>
    </r>
    <r>
      <rPr>
        <rFont val="맑은 고딕"/>
        <color theme="1"/>
        <sz val="10.0"/>
      </rPr>
      <t>SSD 1TB</t>
    </r>
  </si>
  <si>
    <t>IN0002</t>
  </si>
  <si>
    <t>IN0021</t>
  </si>
  <si>
    <r>
      <rPr>
        <rFont val="Noto Sans CJK SC"/>
        <color theme="1"/>
        <sz val="10.0"/>
      </rPr>
      <t xml:space="preserve">웹캠 </t>
    </r>
    <r>
      <rPr>
        <rFont val="맑은 고딕"/>
        <color theme="1"/>
        <sz val="10.0"/>
      </rPr>
      <t>4K</t>
    </r>
  </si>
  <si>
    <t>IN0055</t>
  </si>
  <si>
    <r>
      <rPr>
        <rFont val="맑은 고딕"/>
        <color theme="1"/>
        <sz val="10.0"/>
      </rPr>
      <t xml:space="preserve">USB-C </t>
    </r>
    <r>
      <rPr>
        <rFont val="Noto Sans CJK SC"/>
        <color theme="1"/>
        <sz val="10.0"/>
      </rPr>
      <t>허브</t>
    </r>
  </si>
  <si>
    <t>IN0004</t>
  </si>
  <si>
    <t>2026-05-11</t>
  </si>
  <si>
    <t>IN0049</t>
  </si>
  <si>
    <t>출고번호</t>
  </si>
  <si>
    <t>출고일자</t>
  </si>
  <si>
    <t>출고수량</t>
  </si>
  <si>
    <t>출고유형</t>
  </si>
  <si>
    <t>관련주문</t>
  </si>
  <si>
    <t>배송지역</t>
  </si>
  <si>
    <t>OUT0028</t>
  </si>
  <si>
    <t>판매출고</t>
  </si>
  <si>
    <t>박배송</t>
  </si>
  <si>
    <t>OUT0054</t>
  </si>
  <si>
    <t>OUT0152</t>
  </si>
  <si>
    <t>김출고</t>
  </si>
  <si>
    <t>OUT0101</t>
  </si>
  <si>
    <r>
      <rPr>
        <rFont val="맑은 고딕"/>
        <color theme="1"/>
        <sz val="10.0"/>
      </rPr>
      <t xml:space="preserve">USB-C </t>
    </r>
    <r>
      <rPr>
        <rFont val="Noto Sans CJK SC"/>
        <color theme="1"/>
        <sz val="10.0"/>
      </rPr>
      <t>허브</t>
    </r>
  </si>
  <si>
    <t>OUT0143</t>
  </si>
  <si>
    <r>
      <rPr>
        <rFont val="맑은 고딕"/>
        <color theme="1"/>
        <sz val="10.0"/>
      </rPr>
      <t xml:space="preserve">USB-C </t>
    </r>
    <r>
      <rPr>
        <rFont val="Noto Sans CJK SC"/>
        <color theme="1"/>
        <sz val="10.0"/>
      </rPr>
      <t>허브</t>
    </r>
  </si>
  <si>
    <t>OUT0149</t>
  </si>
  <si>
    <t>OUT0044</t>
  </si>
  <si>
    <r>
      <rPr>
        <rFont val="맑은 고딕"/>
        <color theme="1"/>
        <sz val="10.0"/>
      </rPr>
      <t xml:space="preserve">USB-C </t>
    </r>
    <r>
      <rPr>
        <rFont val="Noto Sans CJK SC"/>
        <color theme="1"/>
        <sz val="10.0"/>
      </rPr>
      <t>허브</t>
    </r>
  </si>
  <si>
    <t>OUT0092</t>
  </si>
  <si>
    <r>
      <rPr>
        <rFont val="Noto Sans CJK SC"/>
        <color theme="1"/>
        <sz val="10.0"/>
      </rPr>
      <t xml:space="preserve">외장 </t>
    </r>
    <r>
      <rPr>
        <rFont val="맑은 고딕"/>
        <color theme="1"/>
        <sz val="10.0"/>
      </rPr>
      <t>SSD 1TB</t>
    </r>
  </si>
  <si>
    <t>OUT0116</t>
  </si>
  <si>
    <r>
      <rPr>
        <rFont val="맑은 고딕"/>
        <color theme="1"/>
        <sz val="10.0"/>
      </rPr>
      <t>27</t>
    </r>
    <r>
      <rPr>
        <rFont val="Noto Sans CJK SC"/>
        <color theme="1"/>
        <sz val="10.0"/>
      </rPr>
      <t>인치 모니터</t>
    </r>
  </si>
  <si>
    <t>OUT0159</t>
  </si>
  <si>
    <t>OUT0015</t>
  </si>
  <si>
    <r>
      <rPr>
        <rFont val="Noto Sans CJK SC"/>
        <color theme="1"/>
        <sz val="10.0"/>
      </rPr>
      <t xml:space="preserve">노트북 </t>
    </r>
    <r>
      <rPr>
        <rFont val="맑은 고딕"/>
        <color theme="1"/>
        <sz val="10.0"/>
      </rPr>
      <t>Pro 15</t>
    </r>
  </si>
  <si>
    <t>OUT0021</t>
  </si>
  <si>
    <r>
      <rPr>
        <rFont val="Noto Sans CJK SC"/>
        <color theme="1"/>
        <sz val="10.0"/>
      </rPr>
      <t xml:space="preserve">외장 </t>
    </r>
    <r>
      <rPr>
        <rFont val="맑은 고딕"/>
        <color theme="1"/>
        <sz val="10.0"/>
      </rPr>
      <t>SSD 1TB</t>
    </r>
  </si>
  <si>
    <t>OUT0170</t>
  </si>
  <si>
    <t>OUT0097</t>
  </si>
  <si>
    <t>OUT0120</t>
  </si>
  <si>
    <r>
      <rPr>
        <rFont val="Noto Sans CJK SC"/>
        <color theme="1"/>
        <sz val="10.0"/>
      </rPr>
      <t xml:space="preserve">외장 </t>
    </r>
    <r>
      <rPr>
        <rFont val="맑은 고딕"/>
        <color theme="1"/>
        <sz val="10.0"/>
      </rPr>
      <t>SSD 1TB</t>
    </r>
  </si>
  <si>
    <t>OUT0175</t>
  </si>
  <si>
    <t>OUT0199</t>
  </si>
  <si>
    <t>창고이동</t>
  </si>
  <si>
    <t>-</t>
  </si>
  <si>
    <t>OUT0039</t>
  </si>
  <si>
    <t>OUT0179</t>
  </si>
  <si>
    <r>
      <rPr>
        <rFont val="맑은 고딕"/>
        <color theme="1"/>
        <sz val="10.0"/>
      </rPr>
      <t xml:space="preserve">USB-C </t>
    </r>
    <r>
      <rPr>
        <rFont val="Noto Sans CJK SC"/>
        <color theme="1"/>
        <sz val="10.0"/>
      </rPr>
      <t>허브</t>
    </r>
  </si>
  <si>
    <t>OUT0022</t>
  </si>
  <si>
    <r>
      <rPr>
        <rFont val="Noto Sans CJK SC"/>
        <color theme="1"/>
        <sz val="10.0"/>
      </rPr>
      <t xml:space="preserve">웹캠 </t>
    </r>
    <r>
      <rPr>
        <rFont val="맑은 고딕"/>
        <color theme="1"/>
        <sz val="10.0"/>
      </rPr>
      <t>4K</t>
    </r>
  </si>
  <si>
    <t>OUT0040</t>
  </si>
  <si>
    <r>
      <rPr>
        <rFont val="Noto Sans CJK SC"/>
        <color theme="1"/>
        <sz val="10.0"/>
      </rPr>
      <t xml:space="preserve">외장 </t>
    </r>
    <r>
      <rPr>
        <rFont val="맑은 고딕"/>
        <color theme="1"/>
        <sz val="10.0"/>
      </rPr>
      <t>SSD 1TB</t>
    </r>
  </si>
  <si>
    <t>OUT0082</t>
  </si>
  <si>
    <t>OUT0096</t>
  </si>
  <si>
    <t>OUT0131</t>
  </si>
  <si>
    <r>
      <rPr>
        <rFont val="맑은 고딕"/>
        <color theme="1"/>
        <sz val="10.0"/>
      </rPr>
      <t>27</t>
    </r>
    <r>
      <rPr>
        <rFont val="Noto Sans CJK SC"/>
        <color theme="1"/>
        <sz val="10.0"/>
      </rPr>
      <t>인치 모니터</t>
    </r>
  </si>
  <si>
    <t>OUT0172</t>
  </si>
  <si>
    <t>OUT0178</t>
  </si>
  <si>
    <r>
      <rPr>
        <rFont val="Noto Sans CJK SC"/>
        <color theme="1"/>
        <sz val="10.0"/>
      </rPr>
      <t xml:space="preserve">웹캠 </t>
    </r>
    <r>
      <rPr>
        <rFont val="맑은 고딕"/>
        <color theme="1"/>
        <sz val="10.0"/>
      </rPr>
      <t>4K</t>
    </r>
  </si>
  <si>
    <t>OUT0009</t>
  </si>
  <si>
    <r>
      <rPr>
        <rFont val="맑은 고딕"/>
        <color theme="1"/>
        <sz val="10.0"/>
      </rPr>
      <t xml:space="preserve">USB-C </t>
    </r>
    <r>
      <rPr>
        <rFont val="Noto Sans CJK SC"/>
        <color theme="1"/>
        <sz val="10.0"/>
      </rPr>
      <t>허브</t>
    </r>
  </si>
  <si>
    <t>OUT0068</t>
  </si>
  <si>
    <t>OUT0104</t>
  </si>
  <si>
    <r>
      <rPr>
        <rFont val="Noto Sans CJK SC"/>
        <color theme="1"/>
        <sz val="10.0"/>
      </rPr>
      <t xml:space="preserve">웹캠 </t>
    </r>
    <r>
      <rPr>
        <rFont val="맑은 고딕"/>
        <color theme="1"/>
        <sz val="10.0"/>
      </rPr>
      <t>4K</t>
    </r>
  </si>
  <si>
    <t>OUT0193</t>
  </si>
  <si>
    <r>
      <rPr>
        <rFont val="Noto Sans CJK SC"/>
        <color theme="1"/>
        <sz val="10.0"/>
      </rPr>
      <t xml:space="preserve">외장 </t>
    </r>
    <r>
      <rPr>
        <rFont val="맑은 고딕"/>
        <color theme="1"/>
        <sz val="10.0"/>
      </rPr>
      <t>SSD 1TB</t>
    </r>
  </si>
  <si>
    <t>반품처리</t>
  </si>
  <si>
    <t>OUT0188</t>
  </si>
  <si>
    <r>
      <rPr>
        <rFont val="Noto Sans CJK SC"/>
        <color theme="1"/>
        <sz val="10.0"/>
      </rPr>
      <t xml:space="preserve">노트북 </t>
    </r>
    <r>
      <rPr>
        <rFont val="맑은 고딕"/>
        <color theme="1"/>
        <sz val="10.0"/>
      </rPr>
      <t>Pro 15</t>
    </r>
  </si>
  <si>
    <t>OUT0194</t>
  </si>
  <si>
    <r>
      <rPr>
        <rFont val="Noto Sans CJK SC"/>
        <color theme="1"/>
        <sz val="10.0"/>
      </rPr>
      <t xml:space="preserve">노트북 </t>
    </r>
    <r>
      <rPr>
        <rFont val="맑은 고딕"/>
        <color theme="1"/>
        <sz val="10.0"/>
      </rPr>
      <t>Pro 15</t>
    </r>
  </si>
  <si>
    <t>OUT0008</t>
  </si>
  <si>
    <r>
      <rPr>
        <rFont val="맑은 고딕"/>
        <color theme="1"/>
        <sz val="10.0"/>
      </rPr>
      <t>27</t>
    </r>
    <r>
      <rPr>
        <rFont val="Noto Sans CJK SC"/>
        <color theme="1"/>
        <sz val="10.0"/>
      </rPr>
      <t>인치 모니터</t>
    </r>
  </si>
  <si>
    <t>OUT0100</t>
  </si>
  <si>
    <r>
      <rPr>
        <rFont val="맑은 고딕"/>
        <color theme="1"/>
        <sz val="10.0"/>
      </rPr>
      <t>27</t>
    </r>
    <r>
      <rPr>
        <rFont val="Noto Sans CJK SC"/>
        <color theme="1"/>
        <sz val="10.0"/>
      </rPr>
      <t>인치 모니터</t>
    </r>
  </si>
  <si>
    <t>OUT0102</t>
  </si>
  <si>
    <t>OUT0078</t>
  </si>
  <si>
    <t>OUT0154</t>
  </si>
  <si>
    <t>OUT0030</t>
  </si>
  <si>
    <t>OUT0063</t>
  </si>
  <si>
    <t>OUT0150</t>
  </si>
  <si>
    <t>OUT0108</t>
  </si>
  <si>
    <t>OUT0070</t>
  </si>
  <si>
    <r>
      <rPr>
        <rFont val="Noto Sans CJK SC"/>
        <color theme="1"/>
        <sz val="10.0"/>
      </rPr>
      <t xml:space="preserve">웹캠 </t>
    </r>
    <r>
      <rPr>
        <rFont val="맑은 고딕"/>
        <color theme="1"/>
        <sz val="10.0"/>
      </rPr>
      <t>4K</t>
    </r>
  </si>
  <si>
    <t>OUT0119</t>
  </si>
  <si>
    <t>OUT0047</t>
  </si>
  <si>
    <r>
      <rPr>
        <rFont val="Noto Sans CJK SC"/>
        <color theme="1"/>
        <sz val="10.0"/>
      </rPr>
      <t xml:space="preserve">노트북 </t>
    </r>
    <r>
      <rPr>
        <rFont val="맑은 고딕"/>
        <color theme="1"/>
        <sz val="10.0"/>
      </rPr>
      <t>Pro 15</t>
    </r>
  </si>
  <si>
    <t>OUT0107</t>
  </si>
  <si>
    <t>OUT0114</t>
  </si>
  <si>
    <r>
      <rPr>
        <rFont val="Noto Sans CJK SC"/>
        <color theme="1"/>
        <sz val="10.0"/>
      </rPr>
      <t xml:space="preserve">외장 </t>
    </r>
    <r>
      <rPr>
        <rFont val="맑은 고딕"/>
        <color theme="1"/>
        <sz val="10.0"/>
      </rPr>
      <t>SSD 1TB</t>
    </r>
  </si>
  <si>
    <t>OUT0045</t>
  </si>
  <si>
    <t>2026-03-04</t>
  </si>
  <si>
    <t>OUT0076</t>
  </si>
  <si>
    <r>
      <rPr>
        <rFont val="Noto Sans CJK SC"/>
        <color theme="1"/>
        <sz val="10.0"/>
      </rPr>
      <t xml:space="preserve">웹캠 </t>
    </r>
    <r>
      <rPr>
        <rFont val="맑은 고딕"/>
        <color theme="1"/>
        <sz val="10.0"/>
      </rPr>
      <t>4K</t>
    </r>
  </si>
  <si>
    <t>OUT0142</t>
  </si>
  <si>
    <r>
      <rPr>
        <rFont val="Noto Sans CJK SC"/>
        <color theme="1"/>
        <sz val="10.0"/>
      </rPr>
      <t xml:space="preserve">웹캠 </t>
    </r>
    <r>
      <rPr>
        <rFont val="맑은 고딕"/>
        <color theme="1"/>
        <sz val="10.0"/>
      </rPr>
      <t>4K</t>
    </r>
  </si>
  <si>
    <t>OUT0051</t>
  </si>
  <si>
    <t>2026-03-06</t>
  </si>
  <si>
    <t>OUT0067</t>
  </si>
  <si>
    <t>OUT0139</t>
  </si>
  <si>
    <t>OUT0002</t>
  </si>
  <si>
    <r>
      <rPr>
        <rFont val="맑은 고딕"/>
        <color theme="1"/>
        <sz val="10.0"/>
      </rPr>
      <t>27</t>
    </r>
    <r>
      <rPr>
        <rFont val="Noto Sans CJK SC"/>
        <color theme="1"/>
        <sz val="10.0"/>
      </rPr>
      <t>인치 모니터</t>
    </r>
  </si>
  <si>
    <t>OUT0200</t>
  </si>
  <si>
    <r>
      <rPr>
        <rFont val="Noto Sans CJK SC"/>
        <color theme="1"/>
        <sz val="10.0"/>
      </rPr>
      <t xml:space="preserve">외장 </t>
    </r>
    <r>
      <rPr>
        <rFont val="맑은 고딕"/>
        <color theme="1"/>
        <sz val="10.0"/>
      </rPr>
      <t>SSD 1TB</t>
    </r>
  </si>
  <si>
    <t>OUT0182</t>
  </si>
  <si>
    <r>
      <rPr>
        <rFont val="Noto Sans CJK SC"/>
        <color theme="1"/>
        <sz val="10.0"/>
      </rPr>
      <t xml:space="preserve">외장 </t>
    </r>
    <r>
      <rPr>
        <rFont val="맑은 고딕"/>
        <color theme="1"/>
        <sz val="10.0"/>
      </rPr>
      <t>SSD 1TB</t>
    </r>
  </si>
  <si>
    <t>OUT0134</t>
  </si>
  <si>
    <t>2026-03-10</t>
  </si>
  <si>
    <r>
      <rPr>
        <rFont val="Noto Sans CJK SC"/>
        <color theme="1"/>
        <sz val="10.0"/>
      </rPr>
      <t xml:space="preserve">외장 </t>
    </r>
    <r>
      <rPr>
        <rFont val="맑은 고딕"/>
        <color theme="1"/>
        <sz val="10.0"/>
      </rPr>
      <t>SSD 1TB</t>
    </r>
  </si>
  <si>
    <t>OUT0020</t>
  </si>
  <si>
    <t>OUT0132</t>
  </si>
  <si>
    <t>OUT0141</t>
  </si>
  <si>
    <t>OUT0146</t>
  </si>
  <si>
    <t>OUT0001</t>
  </si>
  <si>
    <t>OUT0013</t>
  </si>
  <si>
    <t>OUT0014</t>
  </si>
  <si>
    <r>
      <rPr>
        <rFont val="맑은 고딕"/>
        <color theme="1"/>
        <sz val="10.0"/>
      </rPr>
      <t xml:space="preserve">USB-C </t>
    </r>
    <r>
      <rPr>
        <rFont val="Noto Sans CJK SC"/>
        <color theme="1"/>
        <sz val="10.0"/>
      </rPr>
      <t>허브</t>
    </r>
  </si>
  <si>
    <t>OUT0018</t>
  </si>
  <si>
    <t>OUT0135</t>
  </si>
  <si>
    <t>OUT0165</t>
  </si>
  <si>
    <t>OUT0195</t>
  </si>
  <si>
    <t>OUT0072</t>
  </si>
  <si>
    <r>
      <rPr>
        <rFont val="맑은 고딕"/>
        <color theme="1"/>
        <sz val="10.0"/>
      </rPr>
      <t xml:space="preserve">USB-C </t>
    </r>
    <r>
      <rPr>
        <rFont val="Noto Sans CJK SC"/>
        <color theme="1"/>
        <sz val="10.0"/>
      </rPr>
      <t>허브</t>
    </r>
  </si>
  <si>
    <t>OUT0122</t>
  </si>
  <si>
    <t>OUT0004</t>
  </si>
  <si>
    <r>
      <rPr>
        <rFont val="맑은 고딕"/>
        <color theme="1"/>
        <sz val="10.0"/>
      </rPr>
      <t>27</t>
    </r>
    <r>
      <rPr>
        <rFont val="Noto Sans CJK SC"/>
        <color theme="1"/>
        <sz val="10.0"/>
      </rPr>
      <t>인치 모니터</t>
    </r>
  </si>
  <si>
    <t>OUT0156</t>
  </si>
  <si>
    <t>OUT0058</t>
  </si>
  <si>
    <r>
      <rPr>
        <rFont val="Noto Sans CJK SC"/>
        <color theme="1"/>
        <sz val="10.0"/>
      </rPr>
      <t xml:space="preserve">웹캠 </t>
    </r>
    <r>
      <rPr>
        <rFont val="맑은 고딕"/>
        <color theme="1"/>
        <sz val="10.0"/>
      </rPr>
      <t>4K</t>
    </r>
  </si>
  <si>
    <t>OUT0169</t>
  </si>
  <si>
    <t>OUT0052</t>
  </si>
  <si>
    <r>
      <rPr>
        <rFont val="Noto Sans CJK SC"/>
        <color theme="1"/>
        <sz val="10.0"/>
      </rPr>
      <t xml:space="preserve">노트북 </t>
    </r>
    <r>
      <rPr>
        <rFont val="맑은 고딕"/>
        <color theme="1"/>
        <sz val="10.0"/>
      </rPr>
      <t>Pro 15</t>
    </r>
  </si>
  <si>
    <t>OUT0177</t>
  </si>
  <si>
    <t>OUT0191</t>
  </si>
  <si>
    <r>
      <rPr>
        <rFont val="Noto Sans CJK SC"/>
        <color theme="1"/>
        <sz val="10.0"/>
      </rPr>
      <t xml:space="preserve">웹캠 </t>
    </r>
    <r>
      <rPr>
        <rFont val="맑은 고딕"/>
        <color theme="1"/>
        <sz val="10.0"/>
      </rPr>
      <t>4K</t>
    </r>
  </si>
  <si>
    <t>샘플출고</t>
  </si>
  <si>
    <t>OUT0055</t>
  </si>
  <si>
    <t>OUT0036</t>
  </si>
  <si>
    <r>
      <rPr>
        <rFont val="맑은 고딕"/>
        <color theme="1"/>
        <sz val="10.0"/>
      </rPr>
      <t>27</t>
    </r>
    <r>
      <rPr>
        <rFont val="Noto Sans CJK SC"/>
        <color theme="1"/>
        <sz val="10.0"/>
      </rPr>
      <t>인치 모니터</t>
    </r>
  </si>
  <si>
    <t>OUT0084</t>
  </si>
  <si>
    <r>
      <rPr>
        <rFont val="Noto Sans CJK SC"/>
        <color theme="1"/>
        <sz val="10.0"/>
      </rPr>
      <t xml:space="preserve">외장 </t>
    </r>
    <r>
      <rPr>
        <rFont val="맑은 고딕"/>
        <color theme="1"/>
        <sz val="10.0"/>
      </rPr>
      <t>SSD 1TB</t>
    </r>
  </si>
  <si>
    <t>OUT0160</t>
  </si>
  <si>
    <r>
      <rPr>
        <rFont val="맑은 고딕"/>
        <color theme="1"/>
        <sz val="10.0"/>
      </rPr>
      <t>27</t>
    </r>
    <r>
      <rPr>
        <rFont val="Noto Sans CJK SC"/>
        <color theme="1"/>
        <sz val="10.0"/>
      </rPr>
      <t>인치 모니터</t>
    </r>
  </si>
  <si>
    <t>OUT0171</t>
  </si>
  <si>
    <r>
      <rPr>
        <rFont val="Noto Sans CJK SC"/>
        <color theme="1"/>
        <sz val="10.0"/>
      </rPr>
      <t xml:space="preserve">웹캠 </t>
    </r>
    <r>
      <rPr>
        <rFont val="맑은 고딕"/>
        <color theme="1"/>
        <sz val="10.0"/>
      </rPr>
      <t>4K</t>
    </r>
  </si>
  <si>
    <t>OUT0037</t>
  </si>
  <si>
    <t>OUT0086</t>
  </si>
  <si>
    <r>
      <rPr>
        <rFont val="Noto Sans CJK SC"/>
        <color theme="1"/>
        <sz val="10.0"/>
      </rPr>
      <t xml:space="preserve">웹캠 </t>
    </r>
    <r>
      <rPr>
        <rFont val="맑은 고딕"/>
        <color theme="1"/>
        <sz val="10.0"/>
      </rPr>
      <t>4K</t>
    </r>
  </si>
  <si>
    <t>OUT0113</t>
  </si>
  <si>
    <r>
      <rPr>
        <rFont val="맑은 고딕"/>
        <color theme="1"/>
        <sz val="10.0"/>
      </rPr>
      <t xml:space="preserve">USB-C </t>
    </r>
    <r>
      <rPr>
        <rFont val="Noto Sans CJK SC"/>
        <color theme="1"/>
        <sz val="10.0"/>
      </rPr>
      <t>허브</t>
    </r>
  </si>
  <si>
    <t>OUT0024</t>
  </si>
  <si>
    <r>
      <rPr>
        <rFont val="맑은 고딕"/>
        <color theme="1"/>
        <sz val="10.0"/>
      </rPr>
      <t xml:space="preserve">USB-C </t>
    </r>
    <r>
      <rPr>
        <rFont val="Noto Sans CJK SC"/>
        <color theme="1"/>
        <sz val="10.0"/>
      </rPr>
      <t>허브</t>
    </r>
  </si>
  <si>
    <t>OUT0057</t>
  </si>
  <si>
    <r>
      <rPr>
        <rFont val="맑은 고딕"/>
        <color theme="1"/>
        <sz val="10.0"/>
      </rPr>
      <t xml:space="preserve">USB-C </t>
    </r>
    <r>
      <rPr>
        <rFont val="Noto Sans CJK SC"/>
        <color theme="1"/>
        <sz val="10.0"/>
      </rPr>
      <t>허브</t>
    </r>
  </si>
  <si>
    <t>OUT0192</t>
  </si>
  <si>
    <r>
      <rPr>
        <rFont val="Noto Sans CJK SC"/>
        <color theme="1"/>
        <sz val="10.0"/>
      </rPr>
      <t xml:space="preserve">외장 </t>
    </r>
    <r>
      <rPr>
        <rFont val="맑은 고딕"/>
        <color theme="1"/>
        <sz val="10.0"/>
      </rPr>
      <t>SSD 1TB</t>
    </r>
  </si>
  <si>
    <t>OUT0080</t>
  </si>
  <si>
    <t>OUT0133</t>
  </si>
  <si>
    <t>OUT0075</t>
  </si>
  <si>
    <t>OUT0124</t>
  </si>
  <si>
    <r>
      <rPr>
        <rFont val="Noto Sans CJK SC"/>
        <color theme="1"/>
        <sz val="10.0"/>
      </rPr>
      <t xml:space="preserve">웹캠 </t>
    </r>
    <r>
      <rPr>
        <rFont val="맑은 고딕"/>
        <color theme="1"/>
        <sz val="10.0"/>
      </rPr>
      <t>4K</t>
    </r>
  </si>
  <si>
    <t>OUT0140</t>
  </si>
  <si>
    <r>
      <rPr>
        <rFont val="Noto Sans CJK SC"/>
        <color theme="1"/>
        <sz val="10.0"/>
      </rPr>
      <t xml:space="preserve">웹캠 </t>
    </r>
    <r>
      <rPr>
        <rFont val="맑은 고딕"/>
        <color theme="1"/>
        <sz val="10.0"/>
      </rPr>
      <t>4K</t>
    </r>
  </si>
  <si>
    <t>OUT0144</t>
  </si>
  <si>
    <r>
      <rPr>
        <rFont val="Noto Sans CJK SC"/>
        <color theme="1"/>
        <sz val="10.0"/>
      </rPr>
      <t xml:space="preserve">외장 </t>
    </r>
    <r>
      <rPr>
        <rFont val="맑은 고딕"/>
        <color theme="1"/>
        <sz val="10.0"/>
      </rPr>
      <t>SSD 1TB</t>
    </r>
  </si>
  <si>
    <t>OUT0176</t>
  </si>
  <si>
    <r>
      <rPr>
        <rFont val="맑은 고딕"/>
        <color theme="1"/>
        <sz val="10.0"/>
      </rPr>
      <t xml:space="preserve">USB-C </t>
    </r>
    <r>
      <rPr>
        <rFont val="Noto Sans CJK SC"/>
        <color theme="1"/>
        <sz val="10.0"/>
      </rPr>
      <t>허브</t>
    </r>
  </si>
  <si>
    <t>OUT0180</t>
  </si>
  <si>
    <r>
      <rPr>
        <rFont val="맑은 고딕"/>
        <color theme="1"/>
        <sz val="10.0"/>
      </rPr>
      <t xml:space="preserve">USB-C </t>
    </r>
    <r>
      <rPr>
        <rFont val="Noto Sans CJK SC"/>
        <color theme="1"/>
        <sz val="10.0"/>
      </rPr>
      <t>허브</t>
    </r>
  </si>
  <si>
    <t>OUT0187</t>
  </si>
  <si>
    <t>OUT0128</t>
  </si>
  <si>
    <r>
      <rPr>
        <rFont val="맑은 고딕"/>
        <color theme="1"/>
        <sz val="10.0"/>
      </rPr>
      <t>27</t>
    </r>
    <r>
      <rPr>
        <rFont val="Noto Sans CJK SC"/>
        <color theme="1"/>
        <sz val="10.0"/>
      </rPr>
      <t>인치 모니터</t>
    </r>
  </si>
  <si>
    <t>OUT0166</t>
  </si>
  <si>
    <t>OUT0163</t>
  </si>
  <si>
    <t>OUT0081</t>
  </si>
  <si>
    <t>OUT0112</t>
  </si>
  <si>
    <t>OUT0137</t>
  </si>
  <si>
    <r>
      <rPr>
        <rFont val="Noto Sans CJK SC"/>
        <color theme="1"/>
        <sz val="10.0"/>
      </rPr>
      <t xml:space="preserve">외장 </t>
    </r>
    <r>
      <rPr>
        <rFont val="맑은 고딕"/>
        <color theme="1"/>
        <sz val="10.0"/>
      </rPr>
      <t>SSD 1TB</t>
    </r>
  </si>
  <si>
    <t>OUT0031</t>
  </si>
  <si>
    <t>OUT0023</t>
  </si>
  <si>
    <t>OUT0049</t>
  </si>
  <si>
    <r>
      <rPr>
        <rFont val="맑은 고딕"/>
        <color theme="1"/>
        <sz val="10.0"/>
      </rPr>
      <t>27</t>
    </r>
    <r>
      <rPr>
        <rFont val="Noto Sans CJK SC"/>
        <color theme="1"/>
        <sz val="10.0"/>
      </rPr>
      <t>인치 모니터</t>
    </r>
  </si>
  <si>
    <t>OUT0085</t>
  </si>
  <si>
    <t>OUT0121</t>
  </si>
  <si>
    <r>
      <rPr>
        <rFont val="맑은 고딕"/>
        <color theme="1"/>
        <sz val="10.0"/>
      </rPr>
      <t>27</t>
    </r>
    <r>
      <rPr>
        <rFont val="Noto Sans CJK SC"/>
        <color theme="1"/>
        <sz val="10.0"/>
      </rPr>
      <t>인치 모니터</t>
    </r>
  </si>
  <si>
    <t>OUT0129</t>
  </si>
  <si>
    <r>
      <rPr>
        <rFont val="Noto Sans CJK SC"/>
        <color theme="1"/>
        <sz val="10.0"/>
      </rPr>
      <t xml:space="preserve">노트북 </t>
    </r>
    <r>
      <rPr>
        <rFont val="맑은 고딕"/>
        <color theme="1"/>
        <sz val="10.0"/>
      </rPr>
      <t>Pro 15</t>
    </r>
  </si>
  <si>
    <t>OUT0130</t>
  </si>
  <si>
    <t>OUT0168</t>
  </si>
  <si>
    <t>OUT0046</t>
  </si>
  <si>
    <t>OUT0155</t>
  </si>
  <si>
    <r>
      <rPr>
        <rFont val="맑은 고딕"/>
        <color theme="1"/>
        <sz val="10.0"/>
      </rPr>
      <t xml:space="preserve">USB-C </t>
    </r>
    <r>
      <rPr>
        <rFont val="Noto Sans CJK SC"/>
        <color theme="1"/>
        <sz val="10.0"/>
      </rPr>
      <t>허브</t>
    </r>
  </si>
  <si>
    <t>OUT0161</t>
  </si>
  <si>
    <r>
      <rPr>
        <rFont val="맑은 고딕"/>
        <color theme="1"/>
        <sz val="10.0"/>
      </rPr>
      <t>27</t>
    </r>
    <r>
      <rPr>
        <rFont val="Noto Sans CJK SC"/>
        <color theme="1"/>
        <sz val="10.0"/>
      </rPr>
      <t>인치 모니터</t>
    </r>
  </si>
  <si>
    <t>OUT0184</t>
  </si>
  <si>
    <r>
      <rPr>
        <rFont val="Noto Sans CJK SC"/>
        <color theme="1"/>
        <sz val="10.0"/>
      </rPr>
      <t xml:space="preserve">웹캠 </t>
    </r>
    <r>
      <rPr>
        <rFont val="맑은 고딕"/>
        <color theme="1"/>
        <sz val="10.0"/>
      </rPr>
      <t>4K</t>
    </r>
  </si>
  <si>
    <t>OUT0196</t>
  </si>
  <si>
    <r>
      <rPr>
        <rFont val="Noto Sans CJK SC"/>
        <color theme="1"/>
        <sz val="10.0"/>
      </rPr>
      <t xml:space="preserve">외장 </t>
    </r>
    <r>
      <rPr>
        <rFont val="맑은 고딕"/>
        <color theme="1"/>
        <sz val="10.0"/>
      </rPr>
      <t>SSD 1TB</t>
    </r>
  </si>
  <si>
    <t>OUT0198</t>
  </si>
  <si>
    <r>
      <rPr>
        <rFont val="Noto Sans CJK SC"/>
        <color theme="1"/>
        <sz val="10.0"/>
      </rPr>
      <t xml:space="preserve">웹캠 </t>
    </r>
    <r>
      <rPr>
        <rFont val="맑은 고딕"/>
        <color theme="1"/>
        <sz val="10.0"/>
      </rPr>
      <t>4K</t>
    </r>
  </si>
  <si>
    <t>OUT0025</t>
  </si>
  <si>
    <t>OUT0065</t>
  </si>
  <si>
    <r>
      <rPr>
        <rFont val="맑은 고딕"/>
        <color theme="1"/>
        <sz val="10.0"/>
      </rPr>
      <t>27</t>
    </r>
    <r>
      <rPr>
        <rFont val="Noto Sans CJK SC"/>
        <color theme="1"/>
        <sz val="10.0"/>
      </rPr>
      <t>인치 모니터</t>
    </r>
  </si>
  <si>
    <t>OUT0093</t>
  </si>
  <si>
    <t>OUT0123</t>
  </si>
  <si>
    <t>OUT0059</t>
  </si>
  <si>
    <t>OUT0071</t>
  </si>
  <si>
    <r>
      <rPr>
        <rFont val="맑은 고딕"/>
        <color theme="1"/>
        <sz val="10.0"/>
      </rPr>
      <t>27</t>
    </r>
    <r>
      <rPr>
        <rFont val="Noto Sans CJK SC"/>
        <color theme="1"/>
        <sz val="10.0"/>
      </rPr>
      <t>인치 모니터</t>
    </r>
  </si>
  <si>
    <t>OUT0099</t>
  </si>
  <si>
    <t>OUT0033</t>
  </si>
  <si>
    <r>
      <rPr>
        <rFont val="맑은 고딕"/>
        <color theme="1"/>
        <sz val="10.0"/>
      </rPr>
      <t>27</t>
    </r>
    <r>
      <rPr>
        <rFont val="Noto Sans CJK SC"/>
        <color theme="1"/>
        <sz val="10.0"/>
      </rPr>
      <t>인치 모니터</t>
    </r>
  </si>
  <si>
    <t>OUT0034</t>
  </si>
  <si>
    <r>
      <rPr>
        <rFont val="Noto Sans CJK SC"/>
        <color theme="1"/>
        <sz val="10.0"/>
      </rPr>
      <t xml:space="preserve">외장 </t>
    </r>
    <r>
      <rPr>
        <rFont val="맑은 고딕"/>
        <color theme="1"/>
        <sz val="10.0"/>
      </rPr>
      <t>SSD 1TB</t>
    </r>
  </si>
  <si>
    <t>OUT0126</t>
  </si>
  <si>
    <t>OUT0138</t>
  </si>
  <si>
    <r>
      <rPr>
        <rFont val="Noto Sans CJK SC"/>
        <color theme="1"/>
        <sz val="10.0"/>
      </rPr>
      <t xml:space="preserve">외장 </t>
    </r>
    <r>
      <rPr>
        <rFont val="맑은 고딕"/>
        <color theme="1"/>
        <sz val="10.0"/>
      </rPr>
      <t>SSD 1TB</t>
    </r>
  </si>
  <si>
    <t>OUT0050</t>
  </si>
  <si>
    <t>OUT0091</t>
  </si>
  <si>
    <t>OUT0157</t>
  </si>
  <si>
    <t>OUT0090</t>
  </si>
  <si>
    <r>
      <rPr>
        <rFont val="맑은 고딕"/>
        <color theme="1"/>
        <sz val="10.0"/>
      </rPr>
      <t xml:space="preserve">USB-C </t>
    </r>
    <r>
      <rPr>
        <rFont val="Noto Sans CJK SC"/>
        <color theme="1"/>
        <sz val="10.0"/>
      </rPr>
      <t>허브</t>
    </r>
  </si>
  <si>
    <t>OUT0017</t>
  </si>
  <si>
    <r>
      <rPr>
        <rFont val="맑은 고딕"/>
        <color theme="1"/>
        <sz val="10.0"/>
      </rPr>
      <t>27</t>
    </r>
    <r>
      <rPr>
        <rFont val="Noto Sans CJK SC"/>
        <color theme="1"/>
        <sz val="10.0"/>
      </rPr>
      <t>인치 모니터</t>
    </r>
  </si>
  <si>
    <t>OUT0064</t>
  </si>
  <si>
    <r>
      <rPr>
        <rFont val="맑은 고딕"/>
        <color theme="1"/>
        <sz val="10.0"/>
      </rPr>
      <t xml:space="preserve">USB-C </t>
    </r>
    <r>
      <rPr>
        <rFont val="Noto Sans CJK SC"/>
        <color theme="1"/>
        <sz val="10.0"/>
      </rPr>
      <t>허브</t>
    </r>
  </si>
  <si>
    <t>OUT0103</t>
  </si>
  <si>
    <t>OUT0003</t>
  </si>
  <si>
    <r>
      <rPr>
        <rFont val="맑은 고딕"/>
        <color theme="1"/>
        <sz val="10.0"/>
      </rPr>
      <t>27</t>
    </r>
    <r>
      <rPr>
        <rFont val="Noto Sans CJK SC"/>
        <color theme="1"/>
        <sz val="10.0"/>
      </rPr>
      <t>인치 모니터</t>
    </r>
  </si>
  <si>
    <t>OUT0061</t>
  </si>
  <si>
    <t>OUT0111</t>
  </si>
  <si>
    <r>
      <rPr>
        <rFont val="맑은 고딕"/>
        <color theme="1"/>
        <sz val="10.0"/>
      </rPr>
      <t xml:space="preserve">USB-C </t>
    </r>
    <r>
      <rPr>
        <rFont val="Noto Sans CJK SC"/>
        <color theme="1"/>
        <sz val="10.0"/>
      </rPr>
      <t>허브</t>
    </r>
  </si>
  <si>
    <t>OUT0127</t>
  </si>
  <si>
    <r>
      <rPr>
        <rFont val="Noto Sans CJK SC"/>
        <color theme="1"/>
        <sz val="10.0"/>
      </rPr>
      <t xml:space="preserve">웹캠 </t>
    </r>
    <r>
      <rPr>
        <rFont val="맑은 고딕"/>
        <color theme="1"/>
        <sz val="10.0"/>
      </rPr>
      <t>4K</t>
    </r>
  </si>
  <si>
    <t>OUT0151</t>
  </si>
  <si>
    <r>
      <rPr>
        <rFont val="Noto Sans CJK SC"/>
        <color theme="1"/>
        <sz val="10.0"/>
      </rPr>
      <t xml:space="preserve">웹캠 </t>
    </r>
    <r>
      <rPr>
        <rFont val="맑은 고딕"/>
        <color theme="1"/>
        <sz val="10.0"/>
      </rPr>
      <t>4K</t>
    </r>
  </si>
  <si>
    <t>OUT0029</t>
  </si>
  <si>
    <t>OUT0043</t>
  </si>
  <si>
    <t>OUT0060</t>
  </si>
  <si>
    <t>OUT0183</t>
  </si>
  <si>
    <t>OUT0079</t>
  </si>
  <si>
    <r>
      <rPr>
        <rFont val="Noto Sans CJK SC"/>
        <color theme="1"/>
        <sz val="10.0"/>
      </rPr>
      <t xml:space="preserve">웹캠 </t>
    </r>
    <r>
      <rPr>
        <rFont val="맑은 고딕"/>
        <color theme="1"/>
        <sz val="10.0"/>
      </rPr>
      <t>4K</t>
    </r>
  </si>
  <si>
    <t>OUT0189</t>
  </si>
  <si>
    <t>OUT0005</t>
  </si>
  <si>
    <t>OUT0136</t>
  </si>
  <si>
    <r>
      <rPr>
        <rFont val="맑은 고딕"/>
        <color theme="1"/>
        <sz val="10.0"/>
      </rPr>
      <t xml:space="preserve">USB-C </t>
    </r>
    <r>
      <rPr>
        <rFont val="Noto Sans CJK SC"/>
        <color theme="1"/>
        <sz val="10.0"/>
      </rPr>
      <t>허브</t>
    </r>
  </si>
  <si>
    <t>OUT0185</t>
  </si>
  <si>
    <t>OUT0186</t>
  </si>
  <si>
    <t>OUT0109</t>
  </si>
  <si>
    <t>OUT0041</t>
  </si>
  <si>
    <t>OUT0053</t>
  </si>
  <si>
    <t>OUT0073</t>
  </si>
  <si>
    <t>OUT0077</t>
  </si>
  <si>
    <r>
      <rPr>
        <rFont val="맑은 고딕"/>
        <color theme="1"/>
        <sz val="10.0"/>
      </rPr>
      <t xml:space="preserve">USB-C </t>
    </r>
    <r>
      <rPr>
        <rFont val="Noto Sans CJK SC"/>
        <color theme="1"/>
        <sz val="10.0"/>
      </rPr>
      <t>허브</t>
    </r>
  </si>
  <si>
    <t>OUT0147</t>
  </si>
  <si>
    <t>OUT0158</t>
  </si>
  <si>
    <t>OUT0174</t>
  </si>
  <si>
    <t>OUT0012</t>
  </si>
  <si>
    <t>OUT0048</t>
  </si>
  <si>
    <r>
      <rPr>
        <rFont val="Noto Sans CJK SC"/>
        <color theme="1"/>
        <sz val="10.0"/>
      </rPr>
      <t xml:space="preserve">외장 </t>
    </r>
    <r>
      <rPr>
        <rFont val="맑은 고딕"/>
        <color theme="1"/>
        <sz val="10.0"/>
      </rPr>
      <t>SSD 1TB</t>
    </r>
  </si>
  <si>
    <t>OUT0118</t>
  </si>
  <si>
    <r>
      <rPr>
        <rFont val="Noto Sans CJK SC"/>
        <color theme="1"/>
        <sz val="10.0"/>
      </rPr>
      <t xml:space="preserve">웹캠 </t>
    </r>
    <r>
      <rPr>
        <rFont val="맑은 고딕"/>
        <color theme="1"/>
        <sz val="10.0"/>
      </rPr>
      <t>4K</t>
    </r>
  </si>
  <si>
    <t>OUT0173</t>
  </si>
  <si>
    <t>OUT0010</t>
  </si>
  <si>
    <r>
      <rPr>
        <rFont val="Noto Sans CJK SC"/>
        <color theme="1"/>
        <sz val="10.0"/>
      </rPr>
      <t xml:space="preserve">외장 </t>
    </r>
    <r>
      <rPr>
        <rFont val="맑은 고딕"/>
        <color theme="1"/>
        <sz val="10.0"/>
      </rPr>
      <t>SSD 1TB</t>
    </r>
  </si>
  <si>
    <t>OUT0117</t>
  </si>
  <si>
    <t>OUT0181</t>
  </si>
  <si>
    <t>2026-04-27</t>
  </si>
  <si>
    <t>OUT0038</t>
  </si>
  <si>
    <t>OUT0083</t>
  </si>
  <si>
    <t>OUT0110</t>
  </si>
  <si>
    <r>
      <rPr>
        <rFont val="맑은 고딕"/>
        <color theme="1"/>
        <sz val="10.0"/>
      </rPr>
      <t>27</t>
    </r>
    <r>
      <rPr>
        <rFont val="Noto Sans CJK SC"/>
        <color theme="1"/>
        <sz val="10.0"/>
      </rPr>
      <t>인치 모니터</t>
    </r>
  </si>
  <si>
    <t>OUT0019</t>
  </si>
  <si>
    <t>OUT0032</t>
  </si>
  <si>
    <t>OUT0087</t>
  </si>
  <si>
    <t>OUT0125</t>
  </si>
  <si>
    <t>OUT0145</t>
  </si>
  <si>
    <t>OUT0074</t>
  </si>
  <si>
    <r>
      <rPr>
        <rFont val="맑은 고딕"/>
        <color theme="1"/>
        <sz val="10.0"/>
      </rPr>
      <t xml:space="preserve">USB-C </t>
    </r>
    <r>
      <rPr>
        <rFont val="Noto Sans CJK SC"/>
        <color theme="1"/>
        <sz val="10.0"/>
      </rPr>
      <t>허브</t>
    </r>
  </si>
  <si>
    <t>OUT0148</t>
  </si>
  <si>
    <t>OUT0167</t>
  </si>
  <si>
    <r>
      <rPr>
        <rFont val="Noto Sans CJK SC"/>
        <color theme="1"/>
        <sz val="10.0"/>
      </rPr>
      <t xml:space="preserve">노트북 </t>
    </r>
    <r>
      <rPr>
        <rFont val="맑은 고딕"/>
        <color theme="1"/>
        <sz val="10.0"/>
      </rPr>
      <t>Pro 15</t>
    </r>
  </si>
  <si>
    <t>OUT0006</t>
  </si>
  <si>
    <t>OUT0016</t>
  </si>
  <si>
    <r>
      <rPr>
        <rFont val="맑은 고딕"/>
        <color theme="1"/>
        <sz val="10.0"/>
      </rPr>
      <t xml:space="preserve">USB-C </t>
    </r>
    <r>
      <rPr>
        <rFont val="Noto Sans CJK SC"/>
        <color theme="1"/>
        <sz val="10.0"/>
      </rPr>
      <t>허브</t>
    </r>
  </si>
  <si>
    <t>OUT0069</t>
  </si>
  <si>
    <t>OUT0153</t>
  </si>
  <si>
    <r>
      <rPr>
        <rFont val="맑은 고딕"/>
        <color theme="1"/>
        <sz val="10.0"/>
      </rPr>
      <t>27</t>
    </r>
    <r>
      <rPr>
        <rFont val="Noto Sans CJK SC"/>
        <color theme="1"/>
        <sz val="10.0"/>
      </rPr>
      <t>인치 모니터</t>
    </r>
  </si>
  <si>
    <t>OUT0164</t>
  </si>
  <si>
    <r>
      <rPr>
        <rFont val="맑은 고딕"/>
        <color theme="1"/>
        <sz val="10.0"/>
      </rPr>
      <t>27</t>
    </r>
    <r>
      <rPr>
        <rFont val="Noto Sans CJK SC"/>
        <color theme="1"/>
        <sz val="10.0"/>
      </rPr>
      <t>인치 모니터</t>
    </r>
  </si>
  <si>
    <t>OUT0088</t>
  </si>
  <si>
    <t>OUT0115</t>
  </si>
  <si>
    <t>OUT0162</t>
  </si>
  <si>
    <r>
      <rPr>
        <rFont val="Noto Sans CJK SC"/>
        <color theme="1"/>
        <sz val="10.0"/>
      </rPr>
      <t xml:space="preserve">노트북 </t>
    </r>
    <r>
      <rPr>
        <rFont val="맑은 고딕"/>
        <color theme="1"/>
        <sz val="10.0"/>
      </rPr>
      <t>Pro 15</t>
    </r>
  </si>
  <si>
    <t>OUT0042</t>
  </si>
  <si>
    <t>OUT0062</t>
  </si>
  <si>
    <r>
      <rPr>
        <rFont val="맑은 고딕"/>
        <color theme="1"/>
        <sz val="10.0"/>
      </rPr>
      <t xml:space="preserve">USB-C </t>
    </r>
    <r>
      <rPr>
        <rFont val="Noto Sans CJK SC"/>
        <color theme="1"/>
        <sz val="10.0"/>
      </rPr>
      <t>허브</t>
    </r>
  </si>
  <si>
    <t>OUT0197</t>
  </si>
  <si>
    <r>
      <rPr>
        <rFont val="Noto Sans CJK SC"/>
        <color theme="1"/>
        <sz val="10.0"/>
      </rPr>
      <t xml:space="preserve">웹캠 </t>
    </r>
    <r>
      <rPr>
        <rFont val="맑은 고딕"/>
        <color theme="1"/>
        <sz val="10.0"/>
      </rPr>
      <t>4K</t>
    </r>
  </si>
  <si>
    <t>OUT0011</t>
  </si>
  <si>
    <t>OUT0098</t>
  </si>
  <si>
    <r>
      <rPr>
        <rFont val="맑은 고딕"/>
        <color theme="1"/>
        <sz val="10.0"/>
      </rPr>
      <t xml:space="preserve">USB-C </t>
    </r>
    <r>
      <rPr>
        <rFont val="Noto Sans CJK SC"/>
        <color theme="1"/>
        <sz val="10.0"/>
      </rPr>
      <t>허브</t>
    </r>
  </si>
  <si>
    <t>OUT0105</t>
  </si>
  <si>
    <r>
      <rPr>
        <rFont val="Noto Sans CJK SC"/>
        <color theme="1"/>
        <sz val="10.0"/>
      </rPr>
      <t xml:space="preserve">노트북 </t>
    </r>
    <r>
      <rPr>
        <rFont val="맑은 고딕"/>
        <color theme="1"/>
        <sz val="10.0"/>
      </rPr>
      <t>Pro 15</t>
    </r>
  </si>
  <si>
    <t>OUT0056</t>
  </si>
  <si>
    <r>
      <rPr>
        <rFont val="Noto Sans CJK SC"/>
        <color theme="1"/>
        <sz val="10.0"/>
      </rPr>
      <t xml:space="preserve">웹캠 </t>
    </r>
    <r>
      <rPr>
        <rFont val="맑은 고딕"/>
        <color theme="1"/>
        <sz val="10.0"/>
      </rPr>
      <t>4K</t>
    </r>
  </si>
  <si>
    <t>OUT0095</t>
  </si>
  <si>
    <t>OUT0190</t>
  </si>
  <si>
    <t>OUT0007</t>
  </si>
  <si>
    <t>OUT0035</t>
  </si>
  <si>
    <r>
      <rPr>
        <rFont val="Noto Sans CJK SC"/>
        <color theme="1"/>
        <sz val="10.0"/>
      </rPr>
      <t xml:space="preserve">외장 </t>
    </r>
    <r>
      <rPr>
        <rFont val="맑은 고딕"/>
        <color theme="1"/>
        <sz val="10.0"/>
      </rPr>
      <t>SSD 1TB</t>
    </r>
  </si>
  <si>
    <t>OUT0094</t>
  </si>
  <si>
    <t>OUT0027</t>
  </si>
  <si>
    <r>
      <rPr>
        <rFont val="맑은 고딕"/>
        <color theme="1"/>
        <sz val="10.0"/>
      </rPr>
      <t xml:space="preserve">USB-C </t>
    </r>
    <r>
      <rPr>
        <rFont val="Noto Sans CJK SC"/>
        <color theme="1"/>
        <sz val="10.0"/>
      </rPr>
      <t>허브</t>
    </r>
  </si>
  <si>
    <t>OUT0106</t>
  </si>
  <si>
    <r>
      <rPr>
        <rFont val="맑은 고딕"/>
        <color theme="1"/>
        <sz val="10.0"/>
      </rPr>
      <t xml:space="preserve">USB-C </t>
    </r>
    <r>
      <rPr>
        <rFont val="Noto Sans CJK SC"/>
        <color theme="1"/>
        <sz val="10.0"/>
      </rPr>
      <t>허브</t>
    </r>
  </si>
  <si>
    <t>OUT0026</t>
  </si>
  <si>
    <r>
      <rPr>
        <rFont val="맑은 고딕"/>
        <color theme="1"/>
        <sz val="10.0"/>
      </rPr>
      <t xml:space="preserve">USB-C </t>
    </r>
    <r>
      <rPr>
        <rFont val="Noto Sans CJK SC"/>
        <color theme="1"/>
        <sz val="10.0"/>
      </rPr>
      <t>허브</t>
    </r>
  </si>
  <si>
    <t>OUT0066</t>
  </si>
  <si>
    <t>OUT0089</t>
  </si>
  <si>
    <t>2026-05-12</t>
  </si>
  <si>
    <r>
      <rPr>
        <rFont val="맑은 고딕"/>
        <color theme="1"/>
        <sz val="10.0"/>
      </rPr>
      <t xml:space="preserve">USB-C </t>
    </r>
    <r>
      <rPr>
        <rFont val="Noto Sans CJK SC"/>
        <color theme="1"/>
        <sz val="10.0"/>
      </rPr>
      <t>허브</t>
    </r>
  </si>
  <si>
    <t>총입고</t>
  </si>
  <si>
    <t>총출고</t>
  </si>
  <si>
    <t>현재재고</t>
  </si>
  <si>
    <t>재고상태</t>
  </si>
  <si>
    <r>
      <rPr>
        <rFont val="Noto Sans CJK SC"/>
        <color theme="1"/>
        <sz val="10.0"/>
      </rPr>
      <t xml:space="preserve">노트북 </t>
    </r>
    <r>
      <rPr>
        <rFont val="맑은 고딕"/>
        <color theme="1"/>
        <sz val="10.0"/>
      </rPr>
      <t>Pro 15</t>
    </r>
  </si>
  <si>
    <r>
      <rPr>
        <rFont val="맑은 고딕"/>
        <color theme="1"/>
        <sz val="10.0"/>
      </rPr>
      <t>27</t>
    </r>
    <r>
      <rPr>
        <rFont val="Noto Sans CJK SC"/>
        <color theme="1"/>
        <sz val="10.0"/>
      </rPr>
      <t>인치 모니터</t>
    </r>
  </si>
  <si>
    <r>
      <rPr>
        <rFont val="맑은 고딕"/>
        <color theme="1"/>
        <sz val="10.0"/>
      </rPr>
      <t xml:space="preserve">USB-C </t>
    </r>
    <r>
      <rPr>
        <rFont val="Noto Sans CJK SC"/>
        <color theme="1"/>
        <sz val="10.0"/>
      </rPr>
      <t>허브</t>
    </r>
  </si>
  <si>
    <r>
      <rPr>
        <rFont val="Noto Sans CJK SC"/>
        <color theme="1"/>
        <sz val="10.0"/>
      </rPr>
      <t xml:space="preserve">웹캠 </t>
    </r>
    <r>
      <rPr>
        <rFont val="맑은 고딕"/>
        <color theme="1"/>
        <sz val="10.0"/>
      </rPr>
      <t>4K</t>
    </r>
  </si>
  <si>
    <r>
      <rPr>
        <rFont val="Noto Sans CJK SC"/>
        <color theme="1"/>
        <sz val="10.0"/>
      </rPr>
      <t xml:space="preserve">외장 </t>
    </r>
    <r>
      <rPr>
        <rFont val="맑은 고딕"/>
        <color theme="1"/>
        <sz val="10.0"/>
      </rPr>
      <t>SSD 1TB</t>
    </r>
  </si>
  <si>
    <r>
      <rPr>
        <rFont val="맑은 고딕"/>
        <b/>
        <color rgb="FF003D82"/>
        <sz val="14.0"/>
      </rPr>
      <t xml:space="preserve">📊 AppSheet Dashboard </t>
    </r>
    <r>
      <rPr>
        <rFont val="Noto Sans CJK SC"/>
        <b/>
        <color rgb="FF003D82"/>
        <sz val="14.0"/>
      </rPr>
      <t xml:space="preserve">핵심 </t>
    </r>
    <r>
      <rPr>
        <rFont val="맑은 고딕"/>
        <b/>
        <color rgb="FF003D82"/>
        <sz val="14.0"/>
      </rPr>
      <t>KPI</t>
    </r>
  </si>
  <si>
    <t>지표</t>
  </si>
  <si>
    <t>값</t>
  </si>
  <si>
    <t>단위</t>
  </si>
  <si>
    <t>비고</t>
  </si>
  <si>
    <t>총 판매 건수</t>
  </si>
  <si>
    <t>건</t>
  </si>
  <si>
    <r>
      <rPr>
        <rFont val="맑은 고딕"/>
        <color theme="1"/>
        <sz val="10.0"/>
      </rPr>
      <t xml:space="preserve">Sales </t>
    </r>
    <r>
      <rPr>
        <rFont val="Noto Sans CJK SC"/>
        <color theme="1"/>
        <sz val="10.0"/>
      </rPr>
      <t>시트 기준</t>
    </r>
  </si>
  <si>
    <t>총 매출액</t>
  </si>
  <si>
    <t>원</t>
  </si>
  <si>
    <t>할인 반영 매출</t>
  </si>
  <si>
    <t>총 판매수량</t>
  </si>
  <si>
    <t>개</t>
  </si>
  <si>
    <t>전체 출고 기준</t>
  </si>
  <si>
    <t>평균 주문금액</t>
  </si>
  <si>
    <t>주문건당 평균</t>
  </si>
  <si>
    <t>총 입고건수</t>
  </si>
  <si>
    <r>
      <rPr>
        <rFont val="맑은 고딕"/>
        <color theme="1"/>
        <sz val="10.0"/>
      </rPr>
      <t xml:space="preserve">Inbound </t>
    </r>
    <r>
      <rPr>
        <rFont val="Noto Sans CJK SC"/>
        <color theme="1"/>
        <sz val="10.0"/>
      </rPr>
      <t>시트 기준</t>
    </r>
  </si>
  <si>
    <t>총 입고금액</t>
  </si>
  <si>
    <t>매입원가 기준</t>
  </si>
  <si>
    <t>총 출고건수</t>
  </si>
  <si>
    <t>전 유형 포함</t>
  </si>
  <si>
    <t>재주문 필요 품목</t>
  </si>
  <si>
    <t>안전재고 미달</t>
  </si>
  <si>
    <t>재고 주의 품목</t>
  </si>
  <si>
    <r>
      <rPr>
        <rFont val="Noto Sans CJK SC"/>
        <color theme="1"/>
        <sz val="10.0"/>
      </rPr>
      <t>안전재고</t>
    </r>
    <r>
      <rPr>
        <rFont val="맑은 고딕"/>
        <color theme="1"/>
        <sz val="10.0"/>
      </rPr>
      <t xml:space="preserve">*1.5 </t>
    </r>
    <r>
      <rPr>
        <rFont val="Noto Sans CJK SC"/>
        <color theme="1"/>
        <sz val="10.0"/>
      </rPr>
      <t>미만</t>
    </r>
  </si>
  <si>
    <t>🏷️ 카테고리별 매출</t>
  </si>
  <si>
    <t>판매수량</t>
  </si>
  <si>
    <t>구성비</t>
  </si>
  <si>
    <t>수식 (Excel/AppSheet 기준)</t>
  </si>
  <si>
    <t>비고(지표 설명)</t>
  </si>
  <si>
    <t>전체 주문 수</t>
  </si>
  <si>
    <t>할인 반영 최종 매출</t>
  </si>
  <si>
    <t>총 판매 수량</t>
  </si>
  <si>
    <t>판매된 총 상품 수량</t>
  </si>
  <si>
    <t>평균 주문 금액</t>
  </si>
  <si>
    <t>주문 1건당 평균 매출</t>
  </si>
  <si>
    <t>총 입고 수량</t>
  </si>
  <si>
    <t>전체 입고량</t>
  </si>
  <si>
    <t>총 출고 수량</t>
  </si>
  <si>
    <t>전체 출고량</t>
  </si>
  <si>
    <t>현재 총 재고</t>
  </si>
  <si>
    <t>전체 현재 재고</t>
  </si>
  <si>
    <t>안전재고 부족 품목 수</t>
  </si>
  <si>
    <t>안전재고 미만 품목</t>
  </si>
  <si>
    <t>주의 재고 품목 수</t>
  </si>
  <si>
    <t>재고 부족 위험 품목</t>
  </si>
  <si>
    <t>정상 재고 품목 수</t>
  </si>
  <si>
    <t>안정 재고 품목</t>
  </si>
  <si>
    <t>재고 회전율</t>
  </si>
  <si>
    <t>회</t>
  </si>
  <si>
    <t>재고가 얼마나 빠르게 판매되는지</t>
  </si>
  <si>
    <t>평균 마진율</t>
  </si>
  <si>
    <t>%</t>
  </si>
  <si>
    <t>전체 제품 평균 수익률</t>
  </si>
  <si>
    <t>예상 총 이익</t>
  </si>
  <si>
    <t>판매 기준 예상 이익</t>
  </si>
  <si>
    <t>공급업체별 입고금액</t>
  </si>
  <si>
    <t>공급업체 거래 규모</t>
  </si>
  <si>
    <t>불량 입고 건수</t>
  </si>
  <si>
    <t>품질 이슈 모니터링</t>
  </si>
  <si>
    <t>불량 입고 비율</t>
  </si>
  <si>
    <t>전체 입고 대비 불량률</t>
  </si>
  <si>
    <t>재주문 필요율</t>
  </si>
  <si>
    <t>전체 품목 중 부족 비율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</si>
</sst>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9">
    <font>
      <sz val="11.0"/>
      <color theme="1"/>
      <name val="Calibri"/>
      <scheme val="minor"/>
    </font>
    <font>
      <b/>
      <sz val="11.0"/>
      <color rgb="FFFFFFFF"/>
      <name val="Noto Sans"/>
    </font>
    <font>
      <sz val="10.0"/>
      <color theme="1"/>
      <name val="Malgun Gothic"/>
    </font>
    <font>
      <sz val="10.0"/>
      <color theme="1"/>
      <name val="Noto Sans"/>
    </font>
    <font>
      <b/>
      <sz val="10.0"/>
      <color theme="1"/>
      <name val="Malgun Gothic"/>
    </font>
    <font>
      <b/>
      <sz val="14.0"/>
      <color rgb="FF003D82"/>
      <name val="Malgun Gothic"/>
    </font>
    <font>
      <b/>
      <sz val="14.0"/>
      <color rgb="FF003D82"/>
      <name val="Noto Sans"/>
    </font>
    <font>
      <b/>
      <color theme="1"/>
      <name val="Calibri"/>
      <scheme val="minor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3D82"/>
        <bgColor rgb="FF003D82"/>
      </patternFill>
    </fill>
  </fills>
  <borders count="2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1" fillId="0" fontId="2" numFmtId="0" xfId="0" applyAlignment="1" applyBorder="1" applyFont="1">
      <alignment horizontal="center" shrinkToFit="0" vertical="center" wrapText="0"/>
    </xf>
    <xf borderId="1" fillId="0" fontId="3" numFmtId="0" xfId="0" applyAlignment="1" applyBorder="1" applyFont="1">
      <alignment horizontal="center" shrinkToFit="0" vertical="center" wrapText="0"/>
    </xf>
    <xf borderId="1" fillId="0" fontId="2" numFmtId="3" xfId="0" applyAlignment="1" applyBorder="1" applyFont="1" applyNumberFormat="1">
      <alignment horizontal="right" shrinkToFit="0" vertical="center" wrapText="0"/>
    </xf>
    <xf borderId="1" fillId="0" fontId="2" numFmtId="164" xfId="0" applyAlignment="1" applyBorder="1" applyFont="1" applyNumberFormat="1">
      <alignment horizontal="right" shrinkToFit="0" vertical="center" wrapText="0"/>
    </xf>
    <xf borderId="1" fillId="0" fontId="4" numFmtId="3" xfId="0" applyAlignment="1" applyBorder="1" applyFont="1" applyNumberFormat="1">
      <alignment horizontal="right" shrinkToFit="0" vertical="center" wrapText="0"/>
    </xf>
    <xf borderId="0" fillId="0" fontId="5" numFmtId="0" xfId="0" applyAlignment="1" applyFont="1">
      <alignment horizontal="center" shrinkToFit="0" vertical="center" wrapText="0"/>
    </xf>
    <xf borderId="0" fillId="0" fontId="6" numFmtId="0" xfId="0" applyAlignment="1" applyFont="1">
      <alignment horizontal="center" shrinkToFit="0" vertical="center" wrapText="0"/>
    </xf>
    <xf borderId="0" fillId="0" fontId="7" numFmtId="0" xfId="0" applyAlignment="1" applyFont="1">
      <alignment horizontal="center" readingOrder="0"/>
    </xf>
    <xf borderId="0" fillId="0" fontId="8" numFmtId="0" xfId="0" applyAlignment="1" applyFont="1">
      <alignment readingOrder="0"/>
    </xf>
    <xf borderId="0" fillId="0" fontId="8" numFmtId="3" xfId="0" applyFont="1" applyNumberFormat="1"/>
    <xf borderId="0" fillId="0" fontId="8" numFmtId="0" xfId="0" applyFont="1"/>
    <xf borderId="0" fillId="0" fontId="8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22.0"/>
    <col customWidth="1" min="3" max="3" width="14.0"/>
    <col customWidth="1" min="4" max="5" width="12.0"/>
    <col customWidth="1" min="6" max="6" width="16.0"/>
    <col customWidth="1" min="7" max="7" width="12.0"/>
    <col customWidth="1" min="8" max="8" width="10.0"/>
    <col customWidth="1" min="9" max="26" width="8.71"/>
  </cols>
  <sheetData>
    <row r="1" ht="24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3" t="s">
        <v>9</v>
      </c>
      <c r="C2" s="3" t="s">
        <v>10</v>
      </c>
      <c r="D2" s="4">
        <v>1850000.0</v>
      </c>
      <c r="E2" s="4">
        <v>1450000.0</v>
      </c>
      <c r="F2" s="2" t="s">
        <v>11</v>
      </c>
      <c r="G2" s="4">
        <v>50.0</v>
      </c>
      <c r="H2" s="5">
        <f t="shared" ref="H2:H11" si="1">(D2-E2)/D2</f>
        <v>0.2162162162</v>
      </c>
    </row>
    <row r="3">
      <c r="A3" s="2" t="s">
        <v>12</v>
      </c>
      <c r="B3" s="3" t="s">
        <v>13</v>
      </c>
      <c r="C3" s="3" t="s">
        <v>10</v>
      </c>
      <c r="D3" s="4">
        <v>45000.0</v>
      </c>
      <c r="E3" s="4">
        <v>25000.0</v>
      </c>
      <c r="F3" s="2" t="s">
        <v>11</v>
      </c>
      <c r="G3" s="4">
        <v>200.0</v>
      </c>
      <c r="H3" s="5">
        <f t="shared" si="1"/>
        <v>0.4444444444</v>
      </c>
    </row>
    <row r="4">
      <c r="A4" s="2" t="s">
        <v>14</v>
      </c>
      <c r="B4" s="3" t="s">
        <v>15</v>
      </c>
      <c r="C4" s="3" t="s">
        <v>10</v>
      </c>
      <c r="D4" s="4">
        <v>189000.0</v>
      </c>
      <c r="E4" s="4">
        <v>120000.0</v>
      </c>
      <c r="F4" s="2" t="s">
        <v>11</v>
      </c>
      <c r="G4" s="4">
        <v>100.0</v>
      </c>
      <c r="H4" s="5">
        <f t="shared" si="1"/>
        <v>0.3650793651</v>
      </c>
    </row>
    <row r="5">
      <c r="A5" s="2" t="s">
        <v>16</v>
      </c>
      <c r="B5" s="2" t="s">
        <v>17</v>
      </c>
      <c r="C5" s="3" t="s">
        <v>10</v>
      </c>
      <c r="D5" s="4">
        <v>450000.0</v>
      </c>
      <c r="E5" s="4">
        <v>320000.0</v>
      </c>
      <c r="F5" s="2" t="s">
        <v>18</v>
      </c>
      <c r="G5" s="4">
        <v>80.0</v>
      </c>
      <c r="H5" s="5">
        <f t="shared" si="1"/>
        <v>0.2888888889</v>
      </c>
    </row>
    <row r="6">
      <c r="A6" s="2" t="s">
        <v>19</v>
      </c>
      <c r="B6" s="2" t="s">
        <v>20</v>
      </c>
      <c r="C6" s="3" t="s">
        <v>21</v>
      </c>
      <c r="D6" s="4">
        <v>89000.0</v>
      </c>
      <c r="E6" s="4">
        <v>52000.0</v>
      </c>
      <c r="F6" s="2" t="s">
        <v>22</v>
      </c>
      <c r="G6" s="4">
        <v>150.0</v>
      </c>
      <c r="H6" s="5">
        <f t="shared" si="1"/>
        <v>0.4157303371</v>
      </c>
    </row>
    <row r="7">
      <c r="A7" s="2" t="s">
        <v>23</v>
      </c>
      <c r="B7" s="3" t="s">
        <v>24</v>
      </c>
      <c r="C7" s="3" t="s">
        <v>25</v>
      </c>
      <c r="D7" s="4">
        <v>380000.0</v>
      </c>
      <c r="E7" s="4">
        <v>260000.0</v>
      </c>
      <c r="F7" s="2" t="s">
        <v>26</v>
      </c>
      <c r="G7" s="4">
        <v>120.0</v>
      </c>
      <c r="H7" s="5">
        <f t="shared" si="1"/>
        <v>0.3157894737</v>
      </c>
    </row>
    <row r="8">
      <c r="A8" s="2" t="s">
        <v>27</v>
      </c>
      <c r="B8" s="3" t="s">
        <v>28</v>
      </c>
      <c r="C8" s="3" t="s">
        <v>21</v>
      </c>
      <c r="D8" s="4">
        <v>159000.0</v>
      </c>
      <c r="E8" s="4">
        <v>95000.0</v>
      </c>
      <c r="F8" s="2" t="s">
        <v>29</v>
      </c>
      <c r="G8" s="4">
        <v>100.0</v>
      </c>
      <c r="H8" s="5">
        <f t="shared" si="1"/>
        <v>0.4025157233</v>
      </c>
    </row>
    <row r="9">
      <c r="A9" s="2" t="s">
        <v>30</v>
      </c>
      <c r="B9" s="3" t="s">
        <v>31</v>
      </c>
      <c r="C9" s="3" t="s">
        <v>32</v>
      </c>
      <c r="D9" s="4">
        <v>179000.0</v>
      </c>
      <c r="E9" s="4">
        <v>115000.0</v>
      </c>
      <c r="F9" s="2" t="s">
        <v>33</v>
      </c>
      <c r="G9" s="4">
        <v>130.0</v>
      </c>
      <c r="H9" s="5">
        <f t="shared" si="1"/>
        <v>0.3575418994</v>
      </c>
    </row>
    <row r="10">
      <c r="A10" s="2" t="s">
        <v>34</v>
      </c>
      <c r="B10" s="3" t="s">
        <v>35</v>
      </c>
      <c r="C10" s="3" t="s">
        <v>36</v>
      </c>
      <c r="D10" s="4">
        <v>329000.0</v>
      </c>
      <c r="E10" s="4">
        <v>220000.0</v>
      </c>
      <c r="F10" s="2" t="s">
        <v>37</v>
      </c>
      <c r="G10" s="4">
        <v>90.0</v>
      </c>
      <c r="H10" s="5">
        <f t="shared" si="1"/>
        <v>0.3313069909</v>
      </c>
    </row>
    <row r="11">
      <c r="A11" s="2" t="s">
        <v>38</v>
      </c>
      <c r="B11" s="3" t="s">
        <v>39</v>
      </c>
      <c r="C11" s="3" t="s">
        <v>25</v>
      </c>
      <c r="D11" s="4">
        <v>129000.0</v>
      </c>
      <c r="E11" s="4">
        <v>78000.0</v>
      </c>
      <c r="F11" s="2" t="s">
        <v>26</v>
      </c>
      <c r="G11" s="4">
        <v>140.0</v>
      </c>
      <c r="H11" s="5">
        <f t="shared" si="1"/>
        <v>0.3953488372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12.0"/>
    <col customWidth="1" min="3" max="3" width="10.0"/>
    <col customWidth="1" min="4" max="4" width="22.0"/>
    <col customWidth="1" min="5" max="5" width="12.0"/>
    <col customWidth="1" min="6" max="6" width="8.0"/>
    <col customWidth="1" min="7" max="7" width="12.0"/>
    <col customWidth="1" min="8" max="8" width="10.0"/>
    <col customWidth="1" min="9" max="9" width="14.0"/>
    <col customWidth="1" min="10" max="10" width="12.0"/>
    <col customWidth="1" min="11" max="11" width="10.0"/>
    <col customWidth="1" min="12" max="12" width="14.0"/>
    <col customWidth="1" min="13" max="13" width="10.0"/>
    <col customWidth="1" min="14" max="26" width="8.71"/>
  </cols>
  <sheetData>
    <row r="1" ht="24.0" customHeight="1">
      <c r="A1" s="1" t="s">
        <v>40</v>
      </c>
      <c r="B1" s="1" t="s">
        <v>41</v>
      </c>
      <c r="C1" s="1" t="s">
        <v>0</v>
      </c>
      <c r="D1" s="1" t="s">
        <v>1</v>
      </c>
      <c r="E1" s="1" t="s">
        <v>2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  <c r="M1" s="1" t="s">
        <v>49</v>
      </c>
    </row>
    <row r="2">
      <c r="A2" s="2" t="s">
        <v>50</v>
      </c>
      <c r="B2" s="2" t="s">
        <v>51</v>
      </c>
      <c r="C2" s="2" t="s">
        <v>19</v>
      </c>
      <c r="D2" s="2" t="s">
        <v>52</v>
      </c>
      <c r="E2" s="3" t="s">
        <v>21</v>
      </c>
      <c r="F2" s="4">
        <v>10.0</v>
      </c>
      <c r="G2" s="4">
        <v>89000.0</v>
      </c>
      <c r="H2" s="5">
        <v>0.05</v>
      </c>
      <c r="I2" s="4">
        <f t="shared" ref="I2:I201" si="1">F2*G2*(1-H2)</f>
        <v>845500</v>
      </c>
      <c r="J2" s="3" t="s">
        <v>53</v>
      </c>
      <c r="K2" s="3" t="s">
        <v>54</v>
      </c>
      <c r="L2" s="2" t="s">
        <v>55</v>
      </c>
      <c r="M2" s="3" t="s">
        <v>56</v>
      </c>
    </row>
    <row r="3">
      <c r="A3" s="2" t="s">
        <v>57</v>
      </c>
      <c r="B3" s="2" t="s">
        <v>51</v>
      </c>
      <c r="C3" s="2" t="s">
        <v>34</v>
      </c>
      <c r="D3" s="3" t="s">
        <v>35</v>
      </c>
      <c r="E3" s="3" t="s">
        <v>36</v>
      </c>
      <c r="F3" s="4">
        <v>2.0</v>
      </c>
      <c r="G3" s="4">
        <v>329000.0</v>
      </c>
      <c r="H3" s="5">
        <v>0.1</v>
      </c>
      <c r="I3" s="4">
        <f t="shared" si="1"/>
        <v>592200</v>
      </c>
      <c r="J3" s="3" t="s">
        <v>58</v>
      </c>
      <c r="K3" s="3" t="s">
        <v>59</v>
      </c>
      <c r="L3" s="2" t="s">
        <v>60</v>
      </c>
      <c r="M3" s="3" t="s">
        <v>61</v>
      </c>
    </row>
    <row r="4">
      <c r="A4" s="2" t="s">
        <v>62</v>
      </c>
      <c r="B4" s="2" t="s">
        <v>51</v>
      </c>
      <c r="C4" s="2" t="s">
        <v>23</v>
      </c>
      <c r="D4" s="3" t="s">
        <v>24</v>
      </c>
      <c r="E4" s="3" t="s">
        <v>25</v>
      </c>
      <c r="F4" s="4">
        <v>1.0</v>
      </c>
      <c r="G4" s="4">
        <v>380000.0</v>
      </c>
      <c r="H4" s="5">
        <v>0.0</v>
      </c>
      <c r="I4" s="4">
        <f t="shared" si="1"/>
        <v>380000</v>
      </c>
      <c r="J4" s="3" t="s">
        <v>63</v>
      </c>
      <c r="K4" s="3" t="s">
        <v>54</v>
      </c>
      <c r="L4" s="2" t="s">
        <v>64</v>
      </c>
      <c r="M4" s="3" t="s">
        <v>65</v>
      </c>
    </row>
    <row r="5">
      <c r="A5" s="2" t="s">
        <v>66</v>
      </c>
      <c r="B5" s="2" t="s">
        <v>67</v>
      </c>
      <c r="C5" s="2" t="s">
        <v>14</v>
      </c>
      <c r="D5" s="3" t="s">
        <v>15</v>
      </c>
      <c r="E5" s="3" t="s">
        <v>10</v>
      </c>
      <c r="F5" s="4">
        <v>1.0</v>
      </c>
      <c r="G5" s="4">
        <v>189000.0</v>
      </c>
      <c r="H5" s="5">
        <v>0.05</v>
      </c>
      <c r="I5" s="4">
        <f t="shared" si="1"/>
        <v>179550</v>
      </c>
      <c r="J5" s="3" t="s">
        <v>68</v>
      </c>
      <c r="K5" s="3" t="s">
        <v>54</v>
      </c>
      <c r="L5" s="3" t="s">
        <v>69</v>
      </c>
      <c r="M5" s="3" t="s">
        <v>70</v>
      </c>
    </row>
    <row r="6">
      <c r="A6" s="2" t="s">
        <v>71</v>
      </c>
      <c r="B6" s="2" t="s">
        <v>72</v>
      </c>
      <c r="C6" s="2" t="s">
        <v>23</v>
      </c>
      <c r="D6" s="3" t="s">
        <v>24</v>
      </c>
      <c r="E6" s="3" t="s">
        <v>25</v>
      </c>
      <c r="F6" s="4">
        <v>3.0</v>
      </c>
      <c r="G6" s="4">
        <v>380000.0</v>
      </c>
      <c r="H6" s="5">
        <v>0.1</v>
      </c>
      <c r="I6" s="4">
        <f t="shared" si="1"/>
        <v>1026000</v>
      </c>
      <c r="J6" s="3" t="s">
        <v>73</v>
      </c>
      <c r="K6" s="3" t="s">
        <v>59</v>
      </c>
      <c r="L6" s="3" t="s">
        <v>74</v>
      </c>
      <c r="M6" s="3" t="s">
        <v>56</v>
      </c>
    </row>
    <row r="7">
      <c r="A7" s="2" t="s">
        <v>75</v>
      </c>
      <c r="B7" s="2" t="s">
        <v>72</v>
      </c>
      <c r="C7" s="2" t="s">
        <v>19</v>
      </c>
      <c r="D7" s="2" t="s">
        <v>76</v>
      </c>
      <c r="E7" s="3" t="s">
        <v>21</v>
      </c>
      <c r="F7" s="4">
        <v>1.0</v>
      </c>
      <c r="G7" s="4">
        <v>89000.0</v>
      </c>
      <c r="H7" s="5">
        <v>0.05</v>
      </c>
      <c r="I7" s="4">
        <f t="shared" si="1"/>
        <v>84550</v>
      </c>
      <c r="J7" s="3" t="s">
        <v>73</v>
      </c>
      <c r="K7" s="3" t="s">
        <v>77</v>
      </c>
      <c r="L7" s="3" t="s">
        <v>69</v>
      </c>
      <c r="M7" s="3" t="s">
        <v>70</v>
      </c>
    </row>
    <row r="8">
      <c r="A8" s="2" t="s">
        <v>78</v>
      </c>
      <c r="B8" s="2" t="s">
        <v>72</v>
      </c>
      <c r="C8" s="2" t="s">
        <v>19</v>
      </c>
      <c r="D8" s="2" t="s">
        <v>79</v>
      </c>
      <c r="E8" s="3" t="s">
        <v>21</v>
      </c>
      <c r="F8" s="4">
        <v>1.0</v>
      </c>
      <c r="G8" s="4">
        <v>89000.0</v>
      </c>
      <c r="H8" s="5">
        <v>0.0</v>
      </c>
      <c r="I8" s="4">
        <f t="shared" si="1"/>
        <v>89000</v>
      </c>
      <c r="J8" s="3" t="s">
        <v>80</v>
      </c>
      <c r="K8" s="3" t="s">
        <v>81</v>
      </c>
      <c r="L8" s="3" t="s">
        <v>82</v>
      </c>
      <c r="M8" s="3" t="s">
        <v>56</v>
      </c>
    </row>
    <row r="9">
      <c r="A9" s="2" t="s">
        <v>83</v>
      </c>
      <c r="B9" s="2" t="s">
        <v>84</v>
      </c>
      <c r="C9" s="2" t="s">
        <v>16</v>
      </c>
      <c r="D9" s="2" t="s">
        <v>85</v>
      </c>
      <c r="E9" s="3" t="s">
        <v>10</v>
      </c>
      <c r="F9" s="4">
        <v>5.0</v>
      </c>
      <c r="G9" s="4">
        <v>450000.0</v>
      </c>
      <c r="H9" s="5">
        <v>0.1</v>
      </c>
      <c r="I9" s="4">
        <f t="shared" si="1"/>
        <v>2025000</v>
      </c>
      <c r="J9" s="3" t="s">
        <v>86</v>
      </c>
      <c r="K9" s="3" t="s">
        <v>87</v>
      </c>
      <c r="L9" s="2" t="s">
        <v>88</v>
      </c>
      <c r="M9" s="3" t="s">
        <v>65</v>
      </c>
    </row>
    <row r="10">
      <c r="A10" s="2" t="s">
        <v>89</v>
      </c>
      <c r="B10" s="2" t="s">
        <v>84</v>
      </c>
      <c r="C10" s="2" t="s">
        <v>34</v>
      </c>
      <c r="D10" s="3" t="s">
        <v>35</v>
      </c>
      <c r="E10" s="3" t="s">
        <v>36</v>
      </c>
      <c r="F10" s="4">
        <v>1.0</v>
      </c>
      <c r="G10" s="4">
        <v>329000.0</v>
      </c>
      <c r="H10" s="5">
        <v>0.05</v>
      </c>
      <c r="I10" s="4">
        <f t="shared" si="1"/>
        <v>312550</v>
      </c>
      <c r="J10" s="3" t="s">
        <v>63</v>
      </c>
      <c r="K10" s="3" t="s">
        <v>54</v>
      </c>
      <c r="L10" s="3" t="s">
        <v>69</v>
      </c>
      <c r="M10" s="3" t="s">
        <v>70</v>
      </c>
    </row>
    <row r="11">
      <c r="A11" s="2" t="s">
        <v>90</v>
      </c>
      <c r="B11" s="2" t="s">
        <v>84</v>
      </c>
      <c r="C11" s="2" t="s">
        <v>19</v>
      </c>
      <c r="D11" s="2" t="s">
        <v>91</v>
      </c>
      <c r="E11" s="3" t="s">
        <v>21</v>
      </c>
      <c r="F11" s="4">
        <v>2.0</v>
      </c>
      <c r="G11" s="4">
        <v>89000.0</v>
      </c>
      <c r="H11" s="5">
        <v>0.0</v>
      </c>
      <c r="I11" s="4">
        <f t="shared" si="1"/>
        <v>178000</v>
      </c>
      <c r="J11" s="3" t="s">
        <v>92</v>
      </c>
      <c r="K11" s="3" t="s">
        <v>77</v>
      </c>
      <c r="L11" s="3" t="s">
        <v>74</v>
      </c>
      <c r="M11" s="3" t="s">
        <v>56</v>
      </c>
    </row>
    <row r="12">
      <c r="A12" s="2" t="s">
        <v>93</v>
      </c>
      <c r="B12" s="2" t="s">
        <v>94</v>
      </c>
      <c r="C12" s="2" t="s">
        <v>12</v>
      </c>
      <c r="D12" s="3" t="s">
        <v>13</v>
      </c>
      <c r="E12" s="3" t="s">
        <v>10</v>
      </c>
      <c r="F12" s="4">
        <v>1.0</v>
      </c>
      <c r="G12" s="4">
        <v>45000.0</v>
      </c>
      <c r="H12" s="5">
        <v>0.0</v>
      </c>
      <c r="I12" s="4">
        <f t="shared" si="1"/>
        <v>45000</v>
      </c>
      <c r="J12" s="3" t="s">
        <v>95</v>
      </c>
      <c r="K12" s="3" t="s">
        <v>59</v>
      </c>
      <c r="L12" s="3" t="s">
        <v>69</v>
      </c>
      <c r="M12" s="3" t="s">
        <v>56</v>
      </c>
    </row>
    <row r="13">
      <c r="A13" s="2" t="s">
        <v>96</v>
      </c>
      <c r="B13" s="2" t="s">
        <v>94</v>
      </c>
      <c r="C13" s="2" t="s">
        <v>30</v>
      </c>
      <c r="D13" s="3" t="s">
        <v>97</v>
      </c>
      <c r="E13" s="3" t="s">
        <v>32</v>
      </c>
      <c r="F13" s="4">
        <v>2.0</v>
      </c>
      <c r="G13" s="4">
        <v>179000.0</v>
      </c>
      <c r="H13" s="5">
        <v>0.0</v>
      </c>
      <c r="I13" s="4">
        <f t="shared" si="1"/>
        <v>358000</v>
      </c>
      <c r="J13" s="3" t="s">
        <v>58</v>
      </c>
      <c r="K13" s="3" t="s">
        <v>81</v>
      </c>
      <c r="L13" s="3" t="s">
        <v>69</v>
      </c>
      <c r="M13" s="3" t="s">
        <v>65</v>
      </c>
    </row>
    <row r="14">
      <c r="A14" s="2" t="s">
        <v>98</v>
      </c>
      <c r="B14" s="2" t="s">
        <v>99</v>
      </c>
      <c r="C14" s="2" t="s">
        <v>8</v>
      </c>
      <c r="D14" s="3" t="s">
        <v>100</v>
      </c>
      <c r="E14" s="3" t="s">
        <v>10</v>
      </c>
      <c r="F14" s="4">
        <v>1.0</v>
      </c>
      <c r="G14" s="4">
        <v>1850000.0</v>
      </c>
      <c r="H14" s="5">
        <v>0.0</v>
      </c>
      <c r="I14" s="4">
        <f t="shared" si="1"/>
        <v>1850000</v>
      </c>
      <c r="J14" s="3" t="s">
        <v>92</v>
      </c>
      <c r="K14" s="3" t="s">
        <v>101</v>
      </c>
      <c r="L14" s="3" t="s">
        <v>69</v>
      </c>
      <c r="M14" s="3" t="s">
        <v>61</v>
      </c>
    </row>
    <row r="15">
      <c r="A15" s="2" t="s">
        <v>102</v>
      </c>
      <c r="B15" s="2" t="s">
        <v>99</v>
      </c>
      <c r="C15" s="2" t="s">
        <v>30</v>
      </c>
      <c r="D15" s="3" t="s">
        <v>103</v>
      </c>
      <c r="E15" s="3" t="s">
        <v>32</v>
      </c>
      <c r="F15" s="4">
        <v>10.0</v>
      </c>
      <c r="G15" s="4">
        <v>179000.0</v>
      </c>
      <c r="H15" s="5">
        <v>0.0</v>
      </c>
      <c r="I15" s="4">
        <f t="shared" si="1"/>
        <v>1790000</v>
      </c>
      <c r="J15" s="3" t="s">
        <v>86</v>
      </c>
      <c r="K15" s="3" t="s">
        <v>104</v>
      </c>
      <c r="L15" s="2" t="s">
        <v>105</v>
      </c>
      <c r="M15" s="3" t="s">
        <v>70</v>
      </c>
    </row>
    <row r="16">
      <c r="A16" s="2" t="s">
        <v>106</v>
      </c>
      <c r="B16" s="2" t="s">
        <v>107</v>
      </c>
      <c r="C16" s="2" t="s">
        <v>34</v>
      </c>
      <c r="D16" s="3" t="s">
        <v>35</v>
      </c>
      <c r="E16" s="3" t="s">
        <v>36</v>
      </c>
      <c r="F16" s="4">
        <v>1.0</v>
      </c>
      <c r="G16" s="4">
        <v>329000.0</v>
      </c>
      <c r="H16" s="5">
        <v>0.05</v>
      </c>
      <c r="I16" s="4">
        <f t="shared" si="1"/>
        <v>312550</v>
      </c>
      <c r="J16" s="3" t="s">
        <v>63</v>
      </c>
      <c r="K16" s="3" t="s">
        <v>81</v>
      </c>
      <c r="L16" s="3" t="s">
        <v>74</v>
      </c>
      <c r="M16" s="3" t="s">
        <v>56</v>
      </c>
    </row>
    <row r="17">
      <c r="A17" s="2" t="s">
        <v>108</v>
      </c>
      <c r="B17" s="2" t="s">
        <v>109</v>
      </c>
      <c r="C17" s="2" t="s">
        <v>23</v>
      </c>
      <c r="D17" s="3" t="s">
        <v>24</v>
      </c>
      <c r="E17" s="3" t="s">
        <v>25</v>
      </c>
      <c r="F17" s="4">
        <v>1.0</v>
      </c>
      <c r="G17" s="4">
        <v>380000.0</v>
      </c>
      <c r="H17" s="5">
        <v>0.0</v>
      </c>
      <c r="I17" s="4">
        <f t="shared" si="1"/>
        <v>380000</v>
      </c>
      <c r="J17" s="3" t="s">
        <v>53</v>
      </c>
      <c r="K17" s="3" t="s">
        <v>101</v>
      </c>
      <c r="L17" s="3" t="s">
        <v>82</v>
      </c>
      <c r="M17" s="3" t="s">
        <v>56</v>
      </c>
    </row>
    <row r="18">
      <c r="A18" s="2" t="s">
        <v>110</v>
      </c>
      <c r="B18" s="2" t="s">
        <v>111</v>
      </c>
      <c r="C18" s="2" t="s">
        <v>23</v>
      </c>
      <c r="D18" s="3" t="s">
        <v>24</v>
      </c>
      <c r="E18" s="3" t="s">
        <v>25</v>
      </c>
      <c r="F18" s="4">
        <v>1.0</v>
      </c>
      <c r="G18" s="4">
        <v>380000.0</v>
      </c>
      <c r="H18" s="5">
        <v>0.0</v>
      </c>
      <c r="I18" s="4">
        <f t="shared" si="1"/>
        <v>380000</v>
      </c>
      <c r="J18" s="3" t="s">
        <v>63</v>
      </c>
      <c r="K18" s="3" t="s">
        <v>81</v>
      </c>
      <c r="L18" s="3" t="s">
        <v>82</v>
      </c>
      <c r="M18" s="3" t="s">
        <v>56</v>
      </c>
    </row>
    <row r="19">
      <c r="A19" s="2" t="s">
        <v>112</v>
      </c>
      <c r="B19" s="2" t="s">
        <v>111</v>
      </c>
      <c r="C19" s="2" t="s">
        <v>23</v>
      </c>
      <c r="D19" s="3" t="s">
        <v>24</v>
      </c>
      <c r="E19" s="3" t="s">
        <v>25</v>
      </c>
      <c r="F19" s="4">
        <v>2.0</v>
      </c>
      <c r="G19" s="4">
        <v>380000.0</v>
      </c>
      <c r="H19" s="5">
        <v>0.05</v>
      </c>
      <c r="I19" s="4">
        <f t="shared" si="1"/>
        <v>722000</v>
      </c>
      <c r="J19" s="3" t="s">
        <v>113</v>
      </c>
      <c r="K19" s="3" t="s">
        <v>114</v>
      </c>
      <c r="L19" s="2" t="s">
        <v>115</v>
      </c>
      <c r="M19" s="3" t="s">
        <v>61</v>
      </c>
    </row>
    <row r="20">
      <c r="A20" s="2" t="s">
        <v>116</v>
      </c>
      <c r="B20" s="2" t="s">
        <v>111</v>
      </c>
      <c r="C20" s="2" t="s">
        <v>23</v>
      </c>
      <c r="D20" s="3" t="s">
        <v>24</v>
      </c>
      <c r="E20" s="3" t="s">
        <v>25</v>
      </c>
      <c r="F20" s="4">
        <v>1.0</v>
      </c>
      <c r="G20" s="4">
        <v>380000.0</v>
      </c>
      <c r="H20" s="5">
        <v>0.0</v>
      </c>
      <c r="I20" s="4">
        <f t="shared" si="1"/>
        <v>380000</v>
      </c>
      <c r="J20" s="3" t="s">
        <v>117</v>
      </c>
      <c r="K20" s="3" t="s">
        <v>54</v>
      </c>
      <c r="L20" s="3" t="s">
        <v>69</v>
      </c>
      <c r="M20" s="3" t="s">
        <v>70</v>
      </c>
    </row>
    <row r="21" ht="15.75" customHeight="1">
      <c r="A21" s="2" t="s">
        <v>118</v>
      </c>
      <c r="B21" s="2" t="s">
        <v>111</v>
      </c>
      <c r="C21" s="2" t="s">
        <v>16</v>
      </c>
      <c r="D21" s="2" t="s">
        <v>119</v>
      </c>
      <c r="E21" s="3" t="s">
        <v>10</v>
      </c>
      <c r="F21" s="4">
        <v>2.0</v>
      </c>
      <c r="G21" s="4">
        <v>450000.0</v>
      </c>
      <c r="H21" s="5">
        <v>0.1</v>
      </c>
      <c r="I21" s="4">
        <f t="shared" si="1"/>
        <v>810000</v>
      </c>
      <c r="J21" s="3" t="s">
        <v>120</v>
      </c>
      <c r="K21" s="3" t="s">
        <v>77</v>
      </c>
      <c r="L21" s="3" t="s">
        <v>82</v>
      </c>
      <c r="M21" s="3" t="s">
        <v>65</v>
      </c>
    </row>
    <row r="22" ht="15.75" customHeight="1">
      <c r="A22" s="2" t="s">
        <v>121</v>
      </c>
      <c r="B22" s="2" t="s">
        <v>111</v>
      </c>
      <c r="C22" s="2" t="s">
        <v>30</v>
      </c>
      <c r="D22" s="3" t="s">
        <v>122</v>
      </c>
      <c r="E22" s="3" t="s">
        <v>32</v>
      </c>
      <c r="F22" s="4">
        <v>3.0</v>
      </c>
      <c r="G22" s="4">
        <v>179000.0</v>
      </c>
      <c r="H22" s="5">
        <v>0.0</v>
      </c>
      <c r="I22" s="4">
        <f t="shared" si="1"/>
        <v>537000</v>
      </c>
      <c r="J22" s="3" t="s">
        <v>113</v>
      </c>
      <c r="K22" s="3" t="s">
        <v>81</v>
      </c>
      <c r="L22" s="3" t="s">
        <v>82</v>
      </c>
      <c r="M22" s="3" t="s">
        <v>65</v>
      </c>
    </row>
    <row r="23" ht="15.75" customHeight="1">
      <c r="A23" s="2" t="s">
        <v>123</v>
      </c>
      <c r="B23" s="2" t="s">
        <v>111</v>
      </c>
      <c r="C23" s="2" t="s">
        <v>19</v>
      </c>
      <c r="D23" s="2" t="s">
        <v>124</v>
      </c>
      <c r="E23" s="3" t="s">
        <v>21</v>
      </c>
      <c r="F23" s="4">
        <v>2.0</v>
      </c>
      <c r="G23" s="4">
        <v>89000.0</v>
      </c>
      <c r="H23" s="5">
        <v>0.0</v>
      </c>
      <c r="I23" s="4">
        <f t="shared" si="1"/>
        <v>178000</v>
      </c>
      <c r="J23" s="3" t="s">
        <v>58</v>
      </c>
      <c r="K23" s="3" t="s">
        <v>77</v>
      </c>
      <c r="L23" s="3" t="s">
        <v>69</v>
      </c>
      <c r="M23" s="3" t="s">
        <v>70</v>
      </c>
    </row>
    <row r="24" ht="15.75" customHeight="1">
      <c r="A24" s="2" t="s">
        <v>125</v>
      </c>
      <c r="B24" s="2" t="s">
        <v>111</v>
      </c>
      <c r="C24" s="2" t="s">
        <v>30</v>
      </c>
      <c r="D24" s="3" t="s">
        <v>126</v>
      </c>
      <c r="E24" s="3" t="s">
        <v>32</v>
      </c>
      <c r="F24" s="4">
        <v>1.0</v>
      </c>
      <c r="G24" s="4">
        <v>179000.0</v>
      </c>
      <c r="H24" s="5">
        <v>0.0</v>
      </c>
      <c r="I24" s="4">
        <f t="shared" si="1"/>
        <v>179000</v>
      </c>
      <c r="J24" s="3" t="s">
        <v>80</v>
      </c>
      <c r="K24" s="3" t="s">
        <v>59</v>
      </c>
      <c r="L24" s="3" t="s">
        <v>74</v>
      </c>
      <c r="M24" s="3" t="s">
        <v>70</v>
      </c>
    </row>
    <row r="25" ht="15.75" customHeight="1">
      <c r="A25" s="2" t="s">
        <v>127</v>
      </c>
      <c r="B25" s="2" t="s">
        <v>111</v>
      </c>
      <c r="C25" s="2" t="s">
        <v>23</v>
      </c>
      <c r="D25" s="3" t="s">
        <v>24</v>
      </c>
      <c r="E25" s="3" t="s">
        <v>25</v>
      </c>
      <c r="F25" s="4">
        <v>1.0</v>
      </c>
      <c r="G25" s="4">
        <v>380000.0</v>
      </c>
      <c r="H25" s="5">
        <v>0.1</v>
      </c>
      <c r="I25" s="4">
        <f t="shared" si="1"/>
        <v>342000</v>
      </c>
      <c r="J25" s="3" t="s">
        <v>95</v>
      </c>
      <c r="K25" s="3" t="s">
        <v>104</v>
      </c>
      <c r="L25" s="3" t="s">
        <v>69</v>
      </c>
      <c r="M25" s="3" t="s">
        <v>70</v>
      </c>
    </row>
    <row r="26" ht="15.75" customHeight="1">
      <c r="A26" s="2" t="s">
        <v>128</v>
      </c>
      <c r="B26" s="2" t="s">
        <v>129</v>
      </c>
      <c r="C26" s="2" t="s">
        <v>23</v>
      </c>
      <c r="D26" s="3" t="s">
        <v>24</v>
      </c>
      <c r="E26" s="3" t="s">
        <v>25</v>
      </c>
      <c r="F26" s="4">
        <v>10.0</v>
      </c>
      <c r="G26" s="4">
        <v>380000.0</v>
      </c>
      <c r="H26" s="5">
        <v>0.0</v>
      </c>
      <c r="I26" s="4">
        <f t="shared" si="1"/>
        <v>3800000</v>
      </c>
      <c r="J26" s="3" t="s">
        <v>130</v>
      </c>
      <c r="K26" s="3" t="s">
        <v>114</v>
      </c>
      <c r="L26" s="3" t="s">
        <v>69</v>
      </c>
      <c r="M26" s="3" t="s">
        <v>70</v>
      </c>
    </row>
    <row r="27" ht="15.75" customHeight="1">
      <c r="A27" s="2" t="s">
        <v>131</v>
      </c>
      <c r="B27" s="2" t="s">
        <v>132</v>
      </c>
      <c r="C27" s="2" t="s">
        <v>27</v>
      </c>
      <c r="D27" s="3" t="s">
        <v>133</v>
      </c>
      <c r="E27" s="3" t="s">
        <v>21</v>
      </c>
      <c r="F27" s="4">
        <v>1.0</v>
      </c>
      <c r="G27" s="4">
        <v>159000.0</v>
      </c>
      <c r="H27" s="5">
        <v>0.05</v>
      </c>
      <c r="I27" s="4">
        <f t="shared" si="1"/>
        <v>151050</v>
      </c>
      <c r="J27" s="3" t="s">
        <v>58</v>
      </c>
      <c r="K27" s="3" t="s">
        <v>81</v>
      </c>
      <c r="L27" s="3" t="s">
        <v>69</v>
      </c>
      <c r="M27" s="3" t="s">
        <v>61</v>
      </c>
    </row>
    <row r="28" ht="15.75" customHeight="1">
      <c r="A28" s="2" t="s">
        <v>134</v>
      </c>
      <c r="B28" s="2" t="s">
        <v>132</v>
      </c>
      <c r="C28" s="2" t="s">
        <v>27</v>
      </c>
      <c r="D28" s="3" t="s">
        <v>135</v>
      </c>
      <c r="E28" s="3" t="s">
        <v>21</v>
      </c>
      <c r="F28" s="4">
        <v>1.0</v>
      </c>
      <c r="G28" s="4">
        <v>159000.0</v>
      </c>
      <c r="H28" s="5">
        <v>0.05</v>
      </c>
      <c r="I28" s="4">
        <f t="shared" si="1"/>
        <v>151050</v>
      </c>
      <c r="J28" s="3" t="s">
        <v>80</v>
      </c>
      <c r="K28" s="3" t="s">
        <v>104</v>
      </c>
      <c r="L28" s="3" t="s">
        <v>74</v>
      </c>
      <c r="M28" s="3" t="s">
        <v>70</v>
      </c>
    </row>
    <row r="29" ht="15.75" customHeight="1">
      <c r="A29" s="2" t="s">
        <v>136</v>
      </c>
      <c r="B29" s="2" t="s">
        <v>132</v>
      </c>
      <c r="C29" s="2" t="s">
        <v>19</v>
      </c>
      <c r="D29" s="2" t="s">
        <v>137</v>
      </c>
      <c r="E29" s="3" t="s">
        <v>21</v>
      </c>
      <c r="F29" s="4">
        <v>1.0</v>
      </c>
      <c r="G29" s="4">
        <v>89000.0</v>
      </c>
      <c r="H29" s="5">
        <v>0.0</v>
      </c>
      <c r="I29" s="4">
        <f t="shared" si="1"/>
        <v>89000</v>
      </c>
      <c r="J29" s="3" t="s">
        <v>58</v>
      </c>
      <c r="K29" s="3" t="s">
        <v>101</v>
      </c>
      <c r="L29" s="3" t="s">
        <v>74</v>
      </c>
      <c r="M29" s="3" t="s">
        <v>70</v>
      </c>
    </row>
    <row r="30" ht="15.75" customHeight="1">
      <c r="A30" s="2" t="s">
        <v>138</v>
      </c>
      <c r="B30" s="2" t="s">
        <v>132</v>
      </c>
      <c r="C30" s="2" t="s">
        <v>38</v>
      </c>
      <c r="D30" s="3" t="s">
        <v>39</v>
      </c>
      <c r="E30" s="3" t="s">
        <v>25</v>
      </c>
      <c r="F30" s="4">
        <v>10.0</v>
      </c>
      <c r="G30" s="4">
        <v>129000.0</v>
      </c>
      <c r="H30" s="5">
        <v>0.0</v>
      </c>
      <c r="I30" s="4">
        <f t="shared" si="1"/>
        <v>1290000</v>
      </c>
      <c r="J30" s="3" t="s">
        <v>73</v>
      </c>
      <c r="K30" s="3" t="s">
        <v>77</v>
      </c>
      <c r="L30" s="3" t="s">
        <v>74</v>
      </c>
      <c r="M30" s="3" t="s">
        <v>65</v>
      </c>
    </row>
    <row r="31" ht="15.75" customHeight="1">
      <c r="A31" s="2" t="s">
        <v>139</v>
      </c>
      <c r="B31" s="2" t="s">
        <v>140</v>
      </c>
      <c r="C31" s="2" t="s">
        <v>27</v>
      </c>
      <c r="D31" s="3" t="s">
        <v>141</v>
      </c>
      <c r="E31" s="3" t="s">
        <v>21</v>
      </c>
      <c r="F31" s="4">
        <v>3.0</v>
      </c>
      <c r="G31" s="4">
        <v>159000.0</v>
      </c>
      <c r="H31" s="5">
        <v>0.0</v>
      </c>
      <c r="I31" s="4">
        <f t="shared" si="1"/>
        <v>477000</v>
      </c>
      <c r="J31" s="3" t="s">
        <v>92</v>
      </c>
      <c r="K31" s="3" t="s">
        <v>104</v>
      </c>
      <c r="L31" s="2" t="s">
        <v>142</v>
      </c>
      <c r="M31" s="3" t="s">
        <v>56</v>
      </c>
    </row>
    <row r="32" ht="15.75" customHeight="1">
      <c r="A32" s="2" t="s">
        <v>143</v>
      </c>
      <c r="B32" s="2" t="s">
        <v>144</v>
      </c>
      <c r="C32" s="2" t="s">
        <v>27</v>
      </c>
      <c r="D32" s="3" t="s">
        <v>145</v>
      </c>
      <c r="E32" s="3" t="s">
        <v>21</v>
      </c>
      <c r="F32" s="4">
        <v>1.0</v>
      </c>
      <c r="G32" s="4">
        <v>159000.0</v>
      </c>
      <c r="H32" s="5">
        <v>0.05</v>
      </c>
      <c r="I32" s="4">
        <f t="shared" si="1"/>
        <v>151050</v>
      </c>
      <c r="J32" s="3" t="s">
        <v>63</v>
      </c>
      <c r="K32" s="3" t="s">
        <v>104</v>
      </c>
      <c r="L32" s="2" t="s">
        <v>146</v>
      </c>
      <c r="M32" s="3" t="s">
        <v>65</v>
      </c>
    </row>
    <row r="33" ht="15.75" customHeight="1">
      <c r="A33" s="2" t="s">
        <v>147</v>
      </c>
      <c r="B33" s="2" t="s">
        <v>148</v>
      </c>
      <c r="C33" s="2" t="s">
        <v>16</v>
      </c>
      <c r="D33" s="2" t="s">
        <v>149</v>
      </c>
      <c r="E33" s="3" t="s">
        <v>10</v>
      </c>
      <c r="F33" s="4">
        <v>1.0</v>
      </c>
      <c r="G33" s="4">
        <v>450000.0</v>
      </c>
      <c r="H33" s="5">
        <v>0.15</v>
      </c>
      <c r="I33" s="4">
        <f t="shared" si="1"/>
        <v>382500</v>
      </c>
      <c r="J33" s="3" t="s">
        <v>53</v>
      </c>
      <c r="K33" s="3" t="s">
        <v>81</v>
      </c>
      <c r="L33" s="3" t="s">
        <v>74</v>
      </c>
      <c r="M33" s="3" t="s">
        <v>56</v>
      </c>
    </row>
    <row r="34" ht="15.75" customHeight="1">
      <c r="A34" s="2" t="s">
        <v>150</v>
      </c>
      <c r="B34" s="2" t="s">
        <v>151</v>
      </c>
      <c r="C34" s="2" t="s">
        <v>12</v>
      </c>
      <c r="D34" s="3" t="s">
        <v>13</v>
      </c>
      <c r="E34" s="3" t="s">
        <v>10</v>
      </c>
      <c r="F34" s="4">
        <v>2.0</v>
      </c>
      <c r="G34" s="4">
        <v>45000.0</v>
      </c>
      <c r="H34" s="5">
        <v>0.0</v>
      </c>
      <c r="I34" s="4">
        <f t="shared" si="1"/>
        <v>90000</v>
      </c>
      <c r="J34" s="3" t="s">
        <v>152</v>
      </c>
      <c r="K34" s="3" t="s">
        <v>114</v>
      </c>
      <c r="L34" s="2" t="s">
        <v>153</v>
      </c>
      <c r="M34" s="3" t="s">
        <v>61</v>
      </c>
    </row>
    <row r="35" ht="15.75" customHeight="1">
      <c r="A35" s="2" t="s">
        <v>154</v>
      </c>
      <c r="B35" s="2" t="s">
        <v>151</v>
      </c>
      <c r="C35" s="2" t="s">
        <v>14</v>
      </c>
      <c r="D35" s="3" t="s">
        <v>15</v>
      </c>
      <c r="E35" s="3" t="s">
        <v>10</v>
      </c>
      <c r="F35" s="4">
        <v>1.0</v>
      </c>
      <c r="G35" s="4">
        <v>189000.0</v>
      </c>
      <c r="H35" s="5">
        <v>0.0</v>
      </c>
      <c r="I35" s="4">
        <f t="shared" si="1"/>
        <v>189000</v>
      </c>
      <c r="J35" s="3" t="s">
        <v>53</v>
      </c>
      <c r="K35" s="3" t="s">
        <v>54</v>
      </c>
      <c r="L35" s="2" t="s">
        <v>155</v>
      </c>
      <c r="M35" s="3" t="s">
        <v>70</v>
      </c>
    </row>
    <row r="36" ht="15.75" customHeight="1">
      <c r="A36" s="2" t="s">
        <v>156</v>
      </c>
      <c r="B36" s="2" t="s">
        <v>157</v>
      </c>
      <c r="C36" s="2" t="s">
        <v>14</v>
      </c>
      <c r="D36" s="3" t="s">
        <v>15</v>
      </c>
      <c r="E36" s="3" t="s">
        <v>10</v>
      </c>
      <c r="F36" s="4">
        <v>3.0</v>
      </c>
      <c r="G36" s="4">
        <v>189000.0</v>
      </c>
      <c r="H36" s="5">
        <v>0.05</v>
      </c>
      <c r="I36" s="4">
        <f t="shared" si="1"/>
        <v>538650</v>
      </c>
      <c r="J36" s="3" t="s">
        <v>53</v>
      </c>
      <c r="K36" s="3" t="s">
        <v>77</v>
      </c>
      <c r="L36" s="3" t="s">
        <v>69</v>
      </c>
      <c r="M36" s="3" t="s">
        <v>61</v>
      </c>
    </row>
    <row r="37" ht="15.75" customHeight="1">
      <c r="A37" s="2" t="s">
        <v>158</v>
      </c>
      <c r="B37" s="2" t="s">
        <v>157</v>
      </c>
      <c r="C37" s="2" t="s">
        <v>16</v>
      </c>
      <c r="D37" s="2" t="s">
        <v>159</v>
      </c>
      <c r="E37" s="3" t="s">
        <v>10</v>
      </c>
      <c r="F37" s="4">
        <v>1.0</v>
      </c>
      <c r="G37" s="4">
        <v>450000.0</v>
      </c>
      <c r="H37" s="5">
        <v>0.05</v>
      </c>
      <c r="I37" s="4">
        <f t="shared" si="1"/>
        <v>427500</v>
      </c>
      <c r="J37" s="3" t="s">
        <v>80</v>
      </c>
      <c r="K37" s="3" t="s">
        <v>104</v>
      </c>
      <c r="L37" s="3" t="s">
        <v>82</v>
      </c>
      <c r="M37" s="3" t="s">
        <v>56</v>
      </c>
    </row>
    <row r="38" ht="15.75" customHeight="1">
      <c r="A38" s="2" t="s">
        <v>160</v>
      </c>
      <c r="B38" s="2" t="s">
        <v>161</v>
      </c>
      <c r="C38" s="2" t="s">
        <v>34</v>
      </c>
      <c r="D38" s="3" t="s">
        <v>35</v>
      </c>
      <c r="E38" s="3" t="s">
        <v>36</v>
      </c>
      <c r="F38" s="4">
        <v>1.0</v>
      </c>
      <c r="G38" s="4">
        <v>329000.0</v>
      </c>
      <c r="H38" s="5">
        <v>0.0</v>
      </c>
      <c r="I38" s="4">
        <f t="shared" si="1"/>
        <v>329000</v>
      </c>
      <c r="J38" s="3" t="s">
        <v>86</v>
      </c>
      <c r="K38" s="3" t="s">
        <v>87</v>
      </c>
      <c r="L38" s="3" t="s">
        <v>74</v>
      </c>
      <c r="M38" s="3" t="s">
        <v>61</v>
      </c>
    </row>
    <row r="39" ht="15.75" customHeight="1">
      <c r="A39" s="2" t="s">
        <v>162</v>
      </c>
      <c r="B39" s="2" t="s">
        <v>161</v>
      </c>
      <c r="C39" s="2" t="s">
        <v>12</v>
      </c>
      <c r="D39" s="3" t="s">
        <v>13</v>
      </c>
      <c r="E39" s="3" t="s">
        <v>10</v>
      </c>
      <c r="F39" s="4">
        <v>2.0</v>
      </c>
      <c r="G39" s="4">
        <v>45000.0</v>
      </c>
      <c r="H39" s="5">
        <v>0.0</v>
      </c>
      <c r="I39" s="4">
        <f t="shared" si="1"/>
        <v>90000</v>
      </c>
      <c r="J39" s="3" t="s">
        <v>58</v>
      </c>
      <c r="K39" s="3" t="s">
        <v>114</v>
      </c>
      <c r="L39" s="2" t="s">
        <v>163</v>
      </c>
      <c r="M39" s="3" t="s">
        <v>56</v>
      </c>
    </row>
    <row r="40" ht="15.75" customHeight="1">
      <c r="A40" s="2" t="s">
        <v>164</v>
      </c>
      <c r="B40" s="2" t="s">
        <v>161</v>
      </c>
      <c r="C40" s="2" t="s">
        <v>38</v>
      </c>
      <c r="D40" s="3" t="s">
        <v>39</v>
      </c>
      <c r="E40" s="3" t="s">
        <v>25</v>
      </c>
      <c r="F40" s="4">
        <v>1.0</v>
      </c>
      <c r="G40" s="4">
        <v>129000.0</v>
      </c>
      <c r="H40" s="5">
        <v>0.0</v>
      </c>
      <c r="I40" s="4">
        <f t="shared" si="1"/>
        <v>129000</v>
      </c>
      <c r="J40" s="3" t="s">
        <v>165</v>
      </c>
      <c r="K40" s="3" t="s">
        <v>81</v>
      </c>
      <c r="L40" s="3" t="s">
        <v>74</v>
      </c>
      <c r="M40" s="3" t="s">
        <v>61</v>
      </c>
    </row>
    <row r="41" ht="15.75" customHeight="1">
      <c r="A41" s="2" t="s">
        <v>166</v>
      </c>
      <c r="B41" s="2" t="s">
        <v>167</v>
      </c>
      <c r="C41" s="2" t="s">
        <v>14</v>
      </c>
      <c r="D41" s="3" t="s">
        <v>15</v>
      </c>
      <c r="E41" s="3" t="s">
        <v>10</v>
      </c>
      <c r="F41" s="4">
        <v>1.0</v>
      </c>
      <c r="G41" s="4">
        <v>189000.0</v>
      </c>
      <c r="H41" s="5">
        <v>0.0</v>
      </c>
      <c r="I41" s="4">
        <f t="shared" si="1"/>
        <v>189000</v>
      </c>
      <c r="J41" s="3" t="s">
        <v>120</v>
      </c>
      <c r="K41" s="3" t="s">
        <v>81</v>
      </c>
      <c r="L41" s="2" t="s">
        <v>168</v>
      </c>
      <c r="M41" s="3" t="s">
        <v>70</v>
      </c>
    </row>
    <row r="42" ht="15.75" customHeight="1">
      <c r="A42" s="2" t="s">
        <v>169</v>
      </c>
      <c r="B42" s="2" t="s">
        <v>167</v>
      </c>
      <c r="C42" s="2" t="s">
        <v>12</v>
      </c>
      <c r="D42" s="3" t="s">
        <v>13</v>
      </c>
      <c r="E42" s="3" t="s">
        <v>10</v>
      </c>
      <c r="F42" s="4">
        <v>1.0</v>
      </c>
      <c r="G42" s="4">
        <v>45000.0</v>
      </c>
      <c r="H42" s="5">
        <v>0.05</v>
      </c>
      <c r="I42" s="4">
        <f t="shared" si="1"/>
        <v>42750</v>
      </c>
      <c r="J42" s="3" t="s">
        <v>53</v>
      </c>
      <c r="K42" s="3" t="s">
        <v>87</v>
      </c>
      <c r="L42" s="2" t="s">
        <v>170</v>
      </c>
      <c r="M42" s="3" t="s">
        <v>56</v>
      </c>
    </row>
    <row r="43" ht="15.75" customHeight="1">
      <c r="A43" s="2" t="s">
        <v>171</v>
      </c>
      <c r="B43" s="2" t="s">
        <v>172</v>
      </c>
      <c r="C43" s="2" t="s">
        <v>27</v>
      </c>
      <c r="D43" s="3" t="s">
        <v>173</v>
      </c>
      <c r="E43" s="3" t="s">
        <v>21</v>
      </c>
      <c r="F43" s="4">
        <v>1.0</v>
      </c>
      <c r="G43" s="4">
        <v>159000.0</v>
      </c>
      <c r="H43" s="5">
        <v>0.05</v>
      </c>
      <c r="I43" s="4">
        <f t="shared" si="1"/>
        <v>151050</v>
      </c>
      <c r="J43" s="3" t="s">
        <v>95</v>
      </c>
      <c r="K43" s="3" t="s">
        <v>54</v>
      </c>
      <c r="L43" s="3" t="s">
        <v>82</v>
      </c>
      <c r="M43" s="3" t="s">
        <v>61</v>
      </c>
    </row>
    <row r="44" ht="15.75" customHeight="1">
      <c r="A44" s="2" t="s">
        <v>174</v>
      </c>
      <c r="B44" s="2" t="s">
        <v>175</v>
      </c>
      <c r="C44" s="2" t="s">
        <v>14</v>
      </c>
      <c r="D44" s="3" t="s">
        <v>15</v>
      </c>
      <c r="E44" s="3" t="s">
        <v>10</v>
      </c>
      <c r="F44" s="4">
        <v>2.0</v>
      </c>
      <c r="G44" s="4">
        <v>189000.0</v>
      </c>
      <c r="H44" s="5">
        <v>0.05</v>
      </c>
      <c r="I44" s="4">
        <f t="shared" si="1"/>
        <v>359100</v>
      </c>
      <c r="J44" s="3" t="s">
        <v>53</v>
      </c>
      <c r="K44" s="3" t="s">
        <v>87</v>
      </c>
      <c r="L44" s="2" t="s">
        <v>176</v>
      </c>
      <c r="M44" s="3" t="s">
        <v>61</v>
      </c>
    </row>
    <row r="45" ht="15.75" customHeight="1">
      <c r="A45" s="2" t="s">
        <v>177</v>
      </c>
      <c r="B45" s="2" t="s">
        <v>178</v>
      </c>
      <c r="C45" s="2" t="s">
        <v>27</v>
      </c>
      <c r="D45" s="3" t="s">
        <v>179</v>
      </c>
      <c r="E45" s="3" t="s">
        <v>21</v>
      </c>
      <c r="F45" s="4">
        <v>1.0</v>
      </c>
      <c r="G45" s="4">
        <v>159000.0</v>
      </c>
      <c r="H45" s="5">
        <v>0.05</v>
      </c>
      <c r="I45" s="4">
        <f t="shared" si="1"/>
        <v>151050</v>
      </c>
      <c r="J45" s="3" t="s">
        <v>92</v>
      </c>
      <c r="K45" s="3" t="s">
        <v>101</v>
      </c>
      <c r="L45" s="3" t="s">
        <v>82</v>
      </c>
      <c r="M45" s="3" t="s">
        <v>70</v>
      </c>
    </row>
    <row r="46" ht="15.75" customHeight="1">
      <c r="A46" s="2" t="s">
        <v>180</v>
      </c>
      <c r="B46" s="2" t="s">
        <v>178</v>
      </c>
      <c r="C46" s="2" t="s">
        <v>12</v>
      </c>
      <c r="D46" s="3" t="s">
        <v>13</v>
      </c>
      <c r="E46" s="3" t="s">
        <v>10</v>
      </c>
      <c r="F46" s="4">
        <v>1.0</v>
      </c>
      <c r="G46" s="4">
        <v>45000.0</v>
      </c>
      <c r="H46" s="5">
        <v>0.0</v>
      </c>
      <c r="I46" s="4">
        <f t="shared" si="1"/>
        <v>45000</v>
      </c>
      <c r="J46" s="3" t="s">
        <v>117</v>
      </c>
      <c r="K46" s="3" t="s">
        <v>59</v>
      </c>
      <c r="L46" s="3" t="s">
        <v>82</v>
      </c>
      <c r="M46" s="3" t="s">
        <v>61</v>
      </c>
    </row>
    <row r="47" ht="15.75" customHeight="1">
      <c r="A47" s="2" t="s">
        <v>181</v>
      </c>
      <c r="B47" s="2" t="s">
        <v>178</v>
      </c>
      <c r="C47" s="2" t="s">
        <v>8</v>
      </c>
      <c r="D47" s="3" t="s">
        <v>182</v>
      </c>
      <c r="E47" s="3" t="s">
        <v>10</v>
      </c>
      <c r="F47" s="4">
        <v>2.0</v>
      </c>
      <c r="G47" s="4">
        <v>1850000.0</v>
      </c>
      <c r="H47" s="5">
        <v>0.0</v>
      </c>
      <c r="I47" s="4">
        <f t="shared" si="1"/>
        <v>3700000</v>
      </c>
      <c r="J47" s="3" t="s">
        <v>63</v>
      </c>
      <c r="K47" s="3" t="s">
        <v>101</v>
      </c>
      <c r="L47" s="3" t="s">
        <v>69</v>
      </c>
      <c r="M47" s="3" t="s">
        <v>61</v>
      </c>
    </row>
    <row r="48" ht="15.75" customHeight="1">
      <c r="A48" s="2" t="s">
        <v>183</v>
      </c>
      <c r="B48" s="2" t="s">
        <v>178</v>
      </c>
      <c r="C48" s="2" t="s">
        <v>30</v>
      </c>
      <c r="D48" s="3" t="s">
        <v>184</v>
      </c>
      <c r="E48" s="3" t="s">
        <v>32</v>
      </c>
      <c r="F48" s="4">
        <v>5.0</v>
      </c>
      <c r="G48" s="4">
        <v>179000.0</v>
      </c>
      <c r="H48" s="5">
        <v>0.0</v>
      </c>
      <c r="I48" s="4">
        <f t="shared" si="1"/>
        <v>895000</v>
      </c>
      <c r="J48" s="3" t="s">
        <v>130</v>
      </c>
      <c r="K48" s="3" t="s">
        <v>54</v>
      </c>
      <c r="L48" s="3" t="s">
        <v>82</v>
      </c>
      <c r="M48" s="3" t="s">
        <v>61</v>
      </c>
    </row>
    <row r="49" ht="15.75" customHeight="1">
      <c r="A49" s="2" t="s">
        <v>185</v>
      </c>
      <c r="B49" s="2" t="s">
        <v>186</v>
      </c>
      <c r="C49" s="2" t="s">
        <v>34</v>
      </c>
      <c r="D49" s="3" t="s">
        <v>35</v>
      </c>
      <c r="E49" s="3" t="s">
        <v>36</v>
      </c>
      <c r="F49" s="4">
        <v>2.0</v>
      </c>
      <c r="G49" s="4">
        <v>329000.0</v>
      </c>
      <c r="H49" s="5">
        <v>0.1</v>
      </c>
      <c r="I49" s="4">
        <f t="shared" si="1"/>
        <v>592200</v>
      </c>
      <c r="J49" s="3" t="s">
        <v>68</v>
      </c>
      <c r="K49" s="3" t="s">
        <v>101</v>
      </c>
      <c r="L49" s="3" t="s">
        <v>69</v>
      </c>
      <c r="M49" s="3" t="s">
        <v>65</v>
      </c>
    </row>
    <row r="50" ht="15.75" customHeight="1">
      <c r="A50" s="2" t="s">
        <v>187</v>
      </c>
      <c r="B50" s="2" t="s">
        <v>186</v>
      </c>
      <c r="C50" s="2" t="s">
        <v>38</v>
      </c>
      <c r="D50" s="3" t="s">
        <v>39</v>
      </c>
      <c r="E50" s="3" t="s">
        <v>25</v>
      </c>
      <c r="F50" s="4">
        <v>3.0</v>
      </c>
      <c r="G50" s="4">
        <v>129000.0</v>
      </c>
      <c r="H50" s="5">
        <v>0.05</v>
      </c>
      <c r="I50" s="4">
        <f t="shared" si="1"/>
        <v>367650</v>
      </c>
      <c r="J50" s="3" t="s">
        <v>120</v>
      </c>
      <c r="K50" s="3" t="s">
        <v>81</v>
      </c>
      <c r="L50" s="3" t="s">
        <v>82</v>
      </c>
      <c r="M50" s="3" t="s">
        <v>56</v>
      </c>
    </row>
    <row r="51" ht="15.75" customHeight="1">
      <c r="A51" s="2" t="s">
        <v>188</v>
      </c>
      <c r="B51" s="2" t="s">
        <v>186</v>
      </c>
      <c r="C51" s="2" t="s">
        <v>14</v>
      </c>
      <c r="D51" s="3" t="s">
        <v>15</v>
      </c>
      <c r="E51" s="3" t="s">
        <v>10</v>
      </c>
      <c r="F51" s="4">
        <v>3.0</v>
      </c>
      <c r="G51" s="4">
        <v>189000.0</v>
      </c>
      <c r="H51" s="5">
        <v>0.1</v>
      </c>
      <c r="I51" s="4">
        <f t="shared" si="1"/>
        <v>510300</v>
      </c>
      <c r="J51" s="3" t="s">
        <v>92</v>
      </c>
      <c r="K51" s="3" t="s">
        <v>114</v>
      </c>
      <c r="L51" s="3" t="s">
        <v>82</v>
      </c>
      <c r="M51" s="3" t="s">
        <v>70</v>
      </c>
    </row>
    <row r="52" ht="15.75" customHeight="1">
      <c r="A52" s="2" t="s">
        <v>189</v>
      </c>
      <c r="B52" s="2" t="s">
        <v>186</v>
      </c>
      <c r="C52" s="2" t="s">
        <v>27</v>
      </c>
      <c r="D52" s="3" t="s">
        <v>190</v>
      </c>
      <c r="E52" s="3" t="s">
        <v>21</v>
      </c>
      <c r="F52" s="4">
        <v>2.0</v>
      </c>
      <c r="G52" s="4">
        <v>159000.0</v>
      </c>
      <c r="H52" s="5">
        <v>0.0</v>
      </c>
      <c r="I52" s="4">
        <f t="shared" si="1"/>
        <v>318000</v>
      </c>
      <c r="J52" s="3" t="s">
        <v>53</v>
      </c>
      <c r="K52" s="3" t="s">
        <v>77</v>
      </c>
      <c r="L52" s="3" t="s">
        <v>74</v>
      </c>
      <c r="M52" s="3" t="s">
        <v>61</v>
      </c>
    </row>
    <row r="53" ht="15.75" customHeight="1">
      <c r="A53" s="2" t="s">
        <v>191</v>
      </c>
      <c r="B53" s="2" t="s">
        <v>192</v>
      </c>
      <c r="C53" s="2" t="s">
        <v>16</v>
      </c>
      <c r="D53" s="2" t="s">
        <v>193</v>
      </c>
      <c r="E53" s="3" t="s">
        <v>10</v>
      </c>
      <c r="F53" s="4">
        <v>2.0</v>
      </c>
      <c r="G53" s="4">
        <v>450000.0</v>
      </c>
      <c r="H53" s="5">
        <v>0.0</v>
      </c>
      <c r="I53" s="4">
        <f t="shared" si="1"/>
        <v>900000</v>
      </c>
      <c r="J53" s="3" t="s">
        <v>80</v>
      </c>
      <c r="K53" s="3" t="s">
        <v>101</v>
      </c>
      <c r="L53" s="3" t="s">
        <v>74</v>
      </c>
      <c r="M53" s="3" t="s">
        <v>70</v>
      </c>
    </row>
    <row r="54" ht="15.75" customHeight="1">
      <c r="A54" s="2" t="s">
        <v>194</v>
      </c>
      <c r="B54" s="2" t="s">
        <v>195</v>
      </c>
      <c r="C54" s="2" t="s">
        <v>8</v>
      </c>
      <c r="D54" s="3" t="s">
        <v>196</v>
      </c>
      <c r="E54" s="3" t="s">
        <v>10</v>
      </c>
      <c r="F54" s="4">
        <v>1.0</v>
      </c>
      <c r="G54" s="4">
        <v>1850000.0</v>
      </c>
      <c r="H54" s="5">
        <v>0.15</v>
      </c>
      <c r="I54" s="4">
        <f t="shared" si="1"/>
        <v>1572500</v>
      </c>
      <c r="J54" s="3" t="s">
        <v>86</v>
      </c>
      <c r="K54" s="3" t="s">
        <v>54</v>
      </c>
      <c r="L54" s="3" t="s">
        <v>69</v>
      </c>
      <c r="M54" s="3" t="s">
        <v>61</v>
      </c>
    </row>
    <row r="55" ht="15.75" customHeight="1">
      <c r="A55" s="2" t="s">
        <v>197</v>
      </c>
      <c r="B55" s="2" t="s">
        <v>195</v>
      </c>
      <c r="C55" s="2" t="s">
        <v>30</v>
      </c>
      <c r="D55" s="3" t="s">
        <v>198</v>
      </c>
      <c r="E55" s="3" t="s">
        <v>32</v>
      </c>
      <c r="F55" s="4">
        <v>1.0</v>
      </c>
      <c r="G55" s="4">
        <v>179000.0</v>
      </c>
      <c r="H55" s="5">
        <v>0.0</v>
      </c>
      <c r="I55" s="4">
        <f t="shared" si="1"/>
        <v>179000</v>
      </c>
      <c r="J55" s="3" t="s">
        <v>92</v>
      </c>
      <c r="K55" s="3" t="s">
        <v>114</v>
      </c>
      <c r="L55" s="2" t="s">
        <v>199</v>
      </c>
      <c r="M55" s="3" t="s">
        <v>65</v>
      </c>
    </row>
    <row r="56" ht="15.75" customHeight="1">
      <c r="A56" s="2" t="s">
        <v>200</v>
      </c>
      <c r="B56" s="2" t="s">
        <v>201</v>
      </c>
      <c r="C56" s="2" t="s">
        <v>14</v>
      </c>
      <c r="D56" s="3" t="s">
        <v>15</v>
      </c>
      <c r="E56" s="3" t="s">
        <v>10</v>
      </c>
      <c r="F56" s="4">
        <v>1.0</v>
      </c>
      <c r="G56" s="4">
        <v>189000.0</v>
      </c>
      <c r="H56" s="5">
        <v>0.05</v>
      </c>
      <c r="I56" s="4">
        <f t="shared" si="1"/>
        <v>179550</v>
      </c>
      <c r="J56" s="3" t="s">
        <v>53</v>
      </c>
      <c r="K56" s="3" t="s">
        <v>59</v>
      </c>
      <c r="L56" s="2" t="s">
        <v>202</v>
      </c>
      <c r="M56" s="3" t="s">
        <v>70</v>
      </c>
    </row>
    <row r="57" ht="15.75" customHeight="1">
      <c r="A57" s="2" t="s">
        <v>203</v>
      </c>
      <c r="B57" s="2" t="s">
        <v>201</v>
      </c>
      <c r="C57" s="2" t="s">
        <v>23</v>
      </c>
      <c r="D57" s="3" t="s">
        <v>24</v>
      </c>
      <c r="E57" s="3" t="s">
        <v>25</v>
      </c>
      <c r="F57" s="4">
        <v>5.0</v>
      </c>
      <c r="G57" s="4">
        <v>380000.0</v>
      </c>
      <c r="H57" s="5">
        <v>0.1</v>
      </c>
      <c r="I57" s="4">
        <f t="shared" si="1"/>
        <v>1710000</v>
      </c>
      <c r="J57" s="3" t="s">
        <v>63</v>
      </c>
      <c r="K57" s="3" t="s">
        <v>77</v>
      </c>
      <c r="L57" s="3" t="s">
        <v>82</v>
      </c>
      <c r="M57" s="3" t="s">
        <v>56</v>
      </c>
    </row>
    <row r="58" ht="15.75" customHeight="1">
      <c r="A58" s="2" t="s">
        <v>204</v>
      </c>
      <c r="B58" s="2" t="s">
        <v>205</v>
      </c>
      <c r="C58" s="2" t="s">
        <v>23</v>
      </c>
      <c r="D58" s="3" t="s">
        <v>24</v>
      </c>
      <c r="E58" s="3" t="s">
        <v>25</v>
      </c>
      <c r="F58" s="4">
        <v>1.0</v>
      </c>
      <c r="G58" s="4">
        <v>380000.0</v>
      </c>
      <c r="H58" s="5">
        <v>0.0</v>
      </c>
      <c r="I58" s="4">
        <f t="shared" si="1"/>
        <v>380000</v>
      </c>
      <c r="J58" s="3" t="s">
        <v>152</v>
      </c>
      <c r="K58" s="3" t="s">
        <v>77</v>
      </c>
      <c r="L58" s="3" t="s">
        <v>82</v>
      </c>
      <c r="M58" s="3" t="s">
        <v>61</v>
      </c>
    </row>
    <row r="59" ht="15.75" customHeight="1">
      <c r="A59" s="2" t="s">
        <v>206</v>
      </c>
      <c r="B59" s="2" t="s">
        <v>205</v>
      </c>
      <c r="C59" s="2" t="s">
        <v>14</v>
      </c>
      <c r="D59" s="3" t="s">
        <v>15</v>
      </c>
      <c r="E59" s="3" t="s">
        <v>10</v>
      </c>
      <c r="F59" s="4">
        <v>1.0</v>
      </c>
      <c r="G59" s="4">
        <v>189000.0</v>
      </c>
      <c r="H59" s="5">
        <v>0.05</v>
      </c>
      <c r="I59" s="4">
        <f t="shared" si="1"/>
        <v>179550</v>
      </c>
      <c r="J59" s="3" t="s">
        <v>68</v>
      </c>
      <c r="K59" s="3" t="s">
        <v>114</v>
      </c>
      <c r="L59" s="3" t="s">
        <v>74</v>
      </c>
      <c r="M59" s="3" t="s">
        <v>65</v>
      </c>
    </row>
    <row r="60" ht="15.75" customHeight="1">
      <c r="A60" s="2" t="s">
        <v>207</v>
      </c>
      <c r="B60" s="2" t="s">
        <v>205</v>
      </c>
      <c r="C60" s="2" t="s">
        <v>23</v>
      </c>
      <c r="D60" s="3" t="s">
        <v>24</v>
      </c>
      <c r="E60" s="3" t="s">
        <v>25</v>
      </c>
      <c r="F60" s="4">
        <v>1.0</v>
      </c>
      <c r="G60" s="4">
        <v>380000.0</v>
      </c>
      <c r="H60" s="5">
        <v>0.0</v>
      </c>
      <c r="I60" s="4">
        <f t="shared" si="1"/>
        <v>380000</v>
      </c>
      <c r="J60" s="3" t="s">
        <v>73</v>
      </c>
      <c r="K60" s="3" t="s">
        <v>104</v>
      </c>
      <c r="L60" s="3" t="s">
        <v>74</v>
      </c>
      <c r="M60" s="3" t="s">
        <v>65</v>
      </c>
    </row>
    <row r="61" ht="15.75" customHeight="1">
      <c r="A61" s="2" t="s">
        <v>208</v>
      </c>
      <c r="B61" s="2" t="s">
        <v>205</v>
      </c>
      <c r="C61" s="2" t="s">
        <v>23</v>
      </c>
      <c r="D61" s="3" t="s">
        <v>24</v>
      </c>
      <c r="E61" s="3" t="s">
        <v>25</v>
      </c>
      <c r="F61" s="4">
        <v>3.0</v>
      </c>
      <c r="G61" s="4">
        <v>380000.0</v>
      </c>
      <c r="H61" s="5">
        <v>0.0</v>
      </c>
      <c r="I61" s="4">
        <f t="shared" si="1"/>
        <v>1140000</v>
      </c>
      <c r="J61" s="3" t="s">
        <v>58</v>
      </c>
      <c r="K61" s="3" t="s">
        <v>54</v>
      </c>
      <c r="L61" s="2" t="s">
        <v>209</v>
      </c>
      <c r="M61" s="3" t="s">
        <v>61</v>
      </c>
    </row>
    <row r="62" ht="15.75" customHeight="1">
      <c r="A62" s="2" t="s">
        <v>210</v>
      </c>
      <c r="B62" s="2" t="s">
        <v>211</v>
      </c>
      <c r="C62" s="2" t="s">
        <v>14</v>
      </c>
      <c r="D62" s="3" t="s">
        <v>15</v>
      </c>
      <c r="E62" s="3" t="s">
        <v>10</v>
      </c>
      <c r="F62" s="4">
        <v>1.0</v>
      </c>
      <c r="G62" s="4">
        <v>189000.0</v>
      </c>
      <c r="H62" s="5">
        <v>0.0</v>
      </c>
      <c r="I62" s="4">
        <f t="shared" si="1"/>
        <v>189000</v>
      </c>
      <c r="J62" s="3" t="s">
        <v>58</v>
      </c>
      <c r="K62" s="3" t="s">
        <v>101</v>
      </c>
      <c r="L62" s="3" t="s">
        <v>82</v>
      </c>
      <c r="M62" s="3" t="s">
        <v>61</v>
      </c>
    </row>
    <row r="63" ht="15.75" customHeight="1">
      <c r="A63" s="2" t="s">
        <v>212</v>
      </c>
      <c r="B63" s="2" t="s">
        <v>211</v>
      </c>
      <c r="C63" s="2" t="s">
        <v>12</v>
      </c>
      <c r="D63" s="3" t="s">
        <v>13</v>
      </c>
      <c r="E63" s="3" t="s">
        <v>10</v>
      </c>
      <c r="F63" s="4">
        <v>1.0</v>
      </c>
      <c r="G63" s="4">
        <v>45000.0</v>
      </c>
      <c r="H63" s="5">
        <v>0.0</v>
      </c>
      <c r="I63" s="4">
        <f t="shared" si="1"/>
        <v>45000</v>
      </c>
      <c r="J63" s="3" t="s">
        <v>80</v>
      </c>
      <c r="K63" s="3" t="s">
        <v>81</v>
      </c>
      <c r="L63" s="3" t="s">
        <v>74</v>
      </c>
      <c r="M63" s="3" t="s">
        <v>65</v>
      </c>
    </row>
    <row r="64" ht="15.75" customHeight="1">
      <c r="A64" s="2" t="s">
        <v>213</v>
      </c>
      <c r="B64" s="2" t="s">
        <v>214</v>
      </c>
      <c r="C64" s="2" t="s">
        <v>19</v>
      </c>
      <c r="D64" s="2" t="s">
        <v>215</v>
      </c>
      <c r="E64" s="3" t="s">
        <v>21</v>
      </c>
      <c r="F64" s="4">
        <v>1.0</v>
      </c>
      <c r="G64" s="4">
        <v>89000.0</v>
      </c>
      <c r="H64" s="5">
        <v>0.1</v>
      </c>
      <c r="I64" s="4">
        <f t="shared" si="1"/>
        <v>80100</v>
      </c>
      <c r="J64" s="3" t="s">
        <v>58</v>
      </c>
      <c r="K64" s="3" t="s">
        <v>114</v>
      </c>
      <c r="L64" s="3" t="s">
        <v>74</v>
      </c>
      <c r="M64" s="3" t="s">
        <v>70</v>
      </c>
    </row>
    <row r="65" ht="15.75" customHeight="1">
      <c r="A65" s="2" t="s">
        <v>216</v>
      </c>
      <c r="B65" s="2" t="s">
        <v>214</v>
      </c>
      <c r="C65" s="2" t="s">
        <v>38</v>
      </c>
      <c r="D65" s="3" t="s">
        <v>39</v>
      </c>
      <c r="E65" s="3" t="s">
        <v>25</v>
      </c>
      <c r="F65" s="4">
        <v>2.0</v>
      </c>
      <c r="G65" s="4">
        <v>129000.0</v>
      </c>
      <c r="H65" s="5">
        <v>0.0</v>
      </c>
      <c r="I65" s="4">
        <f t="shared" si="1"/>
        <v>258000</v>
      </c>
      <c r="J65" s="3" t="s">
        <v>95</v>
      </c>
      <c r="K65" s="3" t="s">
        <v>81</v>
      </c>
      <c r="L65" s="2" t="s">
        <v>217</v>
      </c>
      <c r="M65" s="3" t="s">
        <v>56</v>
      </c>
    </row>
    <row r="66" ht="15.75" customHeight="1">
      <c r="A66" s="2" t="s">
        <v>218</v>
      </c>
      <c r="B66" s="2" t="s">
        <v>214</v>
      </c>
      <c r="C66" s="2" t="s">
        <v>34</v>
      </c>
      <c r="D66" s="3" t="s">
        <v>35</v>
      </c>
      <c r="E66" s="3" t="s">
        <v>36</v>
      </c>
      <c r="F66" s="4">
        <v>3.0</v>
      </c>
      <c r="G66" s="4">
        <v>329000.0</v>
      </c>
      <c r="H66" s="5">
        <v>0.05</v>
      </c>
      <c r="I66" s="4">
        <f t="shared" si="1"/>
        <v>937650</v>
      </c>
      <c r="J66" s="3" t="s">
        <v>80</v>
      </c>
      <c r="K66" s="3" t="s">
        <v>59</v>
      </c>
      <c r="L66" s="3" t="s">
        <v>69</v>
      </c>
      <c r="M66" s="3" t="s">
        <v>61</v>
      </c>
    </row>
    <row r="67" ht="15.75" customHeight="1">
      <c r="A67" s="2" t="s">
        <v>219</v>
      </c>
      <c r="B67" s="2" t="s">
        <v>220</v>
      </c>
      <c r="C67" s="2" t="s">
        <v>19</v>
      </c>
      <c r="D67" s="2" t="s">
        <v>221</v>
      </c>
      <c r="E67" s="3" t="s">
        <v>21</v>
      </c>
      <c r="F67" s="4">
        <v>1.0</v>
      </c>
      <c r="G67" s="4">
        <v>89000.0</v>
      </c>
      <c r="H67" s="5">
        <v>0.15</v>
      </c>
      <c r="I67" s="4">
        <f t="shared" si="1"/>
        <v>75650</v>
      </c>
      <c r="J67" s="3" t="s">
        <v>80</v>
      </c>
      <c r="K67" s="3" t="s">
        <v>81</v>
      </c>
      <c r="L67" s="3" t="s">
        <v>82</v>
      </c>
      <c r="M67" s="3" t="s">
        <v>56</v>
      </c>
    </row>
    <row r="68" ht="15.75" customHeight="1">
      <c r="A68" s="2" t="s">
        <v>222</v>
      </c>
      <c r="B68" s="2" t="s">
        <v>220</v>
      </c>
      <c r="C68" s="2" t="s">
        <v>14</v>
      </c>
      <c r="D68" s="3" t="s">
        <v>15</v>
      </c>
      <c r="E68" s="3" t="s">
        <v>10</v>
      </c>
      <c r="F68" s="4">
        <v>2.0</v>
      </c>
      <c r="G68" s="4">
        <v>189000.0</v>
      </c>
      <c r="H68" s="5">
        <v>0.0</v>
      </c>
      <c r="I68" s="4">
        <f t="shared" si="1"/>
        <v>378000</v>
      </c>
      <c r="J68" s="3" t="s">
        <v>92</v>
      </c>
      <c r="K68" s="3" t="s">
        <v>54</v>
      </c>
      <c r="L68" s="3" t="s">
        <v>74</v>
      </c>
      <c r="M68" s="3" t="s">
        <v>61</v>
      </c>
    </row>
    <row r="69" ht="15.75" customHeight="1">
      <c r="A69" s="2" t="s">
        <v>223</v>
      </c>
      <c r="B69" s="2" t="s">
        <v>220</v>
      </c>
      <c r="C69" s="2" t="s">
        <v>38</v>
      </c>
      <c r="D69" s="3" t="s">
        <v>39</v>
      </c>
      <c r="E69" s="3" t="s">
        <v>25</v>
      </c>
      <c r="F69" s="4">
        <v>5.0</v>
      </c>
      <c r="G69" s="4">
        <v>129000.0</v>
      </c>
      <c r="H69" s="5">
        <v>0.0</v>
      </c>
      <c r="I69" s="4">
        <f t="shared" si="1"/>
        <v>645000</v>
      </c>
      <c r="J69" s="3" t="s">
        <v>113</v>
      </c>
      <c r="K69" s="3" t="s">
        <v>101</v>
      </c>
      <c r="L69" s="2" t="s">
        <v>224</v>
      </c>
      <c r="M69" s="3" t="s">
        <v>70</v>
      </c>
    </row>
    <row r="70" ht="15.75" customHeight="1">
      <c r="A70" s="2" t="s">
        <v>225</v>
      </c>
      <c r="B70" s="2" t="s">
        <v>226</v>
      </c>
      <c r="C70" s="2" t="s">
        <v>14</v>
      </c>
      <c r="D70" s="3" t="s">
        <v>15</v>
      </c>
      <c r="E70" s="3" t="s">
        <v>10</v>
      </c>
      <c r="F70" s="4">
        <v>5.0</v>
      </c>
      <c r="G70" s="4">
        <v>189000.0</v>
      </c>
      <c r="H70" s="5">
        <v>0.0</v>
      </c>
      <c r="I70" s="4">
        <f t="shared" si="1"/>
        <v>945000</v>
      </c>
      <c r="J70" s="3" t="s">
        <v>58</v>
      </c>
      <c r="K70" s="3" t="s">
        <v>81</v>
      </c>
      <c r="L70" s="3" t="s">
        <v>74</v>
      </c>
      <c r="M70" s="3" t="s">
        <v>65</v>
      </c>
    </row>
    <row r="71" ht="15.75" customHeight="1">
      <c r="A71" s="2" t="s">
        <v>227</v>
      </c>
      <c r="B71" s="2" t="s">
        <v>228</v>
      </c>
      <c r="C71" s="2" t="s">
        <v>16</v>
      </c>
      <c r="D71" s="2" t="s">
        <v>229</v>
      </c>
      <c r="E71" s="3" t="s">
        <v>10</v>
      </c>
      <c r="F71" s="4">
        <v>5.0</v>
      </c>
      <c r="G71" s="4">
        <v>450000.0</v>
      </c>
      <c r="H71" s="5">
        <v>0.0</v>
      </c>
      <c r="I71" s="4">
        <f t="shared" si="1"/>
        <v>2250000</v>
      </c>
      <c r="J71" s="3" t="s">
        <v>113</v>
      </c>
      <c r="K71" s="3" t="s">
        <v>101</v>
      </c>
      <c r="L71" s="3" t="s">
        <v>74</v>
      </c>
      <c r="M71" s="3" t="s">
        <v>70</v>
      </c>
    </row>
    <row r="72" ht="15.75" customHeight="1">
      <c r="A72" s="2" t="s">
        <v>230</v>
      </c>
      <c r="B72" s="2" t="s">
        <v>228</v>
      </c>
      <c r="C72" s="2" t="s">
        <v>34</v>
      </c>
      <c r="D72" s="3" t="s">
        <v>35</v>
      </c>
      <c r="E72" s="3" t="s">
        <v>36</v>
      </c>
      <c r="F72" s="4">
        <v>1.0</v>
      </c>
      <c r="G72" s="4">
        <v>329000.0</v>
      </c>
      <c r="H72" s="5">
        <v>0.15</v>
      </c>
      <c r="I72" s="4">
        <f t="shared" si="1"/>
        <v>279650</v>
      </c>
      <c r="J72" s="3" t="s">
        <v>53</v>
      </c>
      <c r="K72" s="3" t="s">
        <v>77</v>
      </c>
      <c r="L72" s="3" t="s">
        <v>74</v>
      </c>
      <c r="M72" s="3" t="s">
        <v>65</v>
      </c>
    </row>
    <row r="73" ht="15.75" customHeight="1">
      <c r="A73" s="2" t="s">
        <v>231</v>
      </c>
      <c r="B73" s="2" t="s">
        <v>228</v>
      </c>
      <c r="C73" s="2" t="s">
        <v>14</v>
      </c>
      <c r="D73" s="3" t="s">
        <v>15</v>
      </c>
      <c r="E73" s="3" t="s">
        <v>10</v>
      </c>
      <c r="F73" s="4">
        <v>2.0</v>
      </c>
      <c r="G73" s="4">
        <v>189000.0</v>
      </c>
      <c r="H73" s="5">
        <v>0.05</v>
      </c>
      <c r="I73" s="4">
        <f t="shared" si="1"/>
        <v>359100</v>
      </c>
      <c r="J73" s="3" t="s">
        <v>113</v>
      </c>
      <c r="K73" s="3" t="s">
        <v>87</v>
      </c>
      <c r="L73" s="3" t="s">
        <v>82</v>
      </c>
      <c r="M73" s="3" t="s">
        <v>65</v>
      </c>
    </row>
    <row r="74" ht="15.75" customHeight="1">
      <c r="A74" s="2" t="s">
        <v>232</v>
      </c>
      <c r="B74" s="2" t="s">
        <v>233</v>
      </c>
      <c r="C74" s="2" t="s">
        <v>27</v>
      </c>
      <c r="D74" s="3" t="s">
        <v>234</v>
      </c>
      <c r="E74" s="3" t="s">
        <v>21</v>
      </c>
      <c r="F74" s="4">
        <v>3.0</v>
      </c>
      <c r="G74" s="4">
        <v>159000.0</v>
      </c>
      <c r="H74" s="5">
        <v>0.05</v>
      </c>
      <c r="I74" s="4">
        <f t="shared" si="1"/>
        <v>453150</v>
      </c>
      <c r="J74" s="3" t="s">
        <v>95</v>
      </c>
      <c r="K74" s="3" t="s">
        <v>77</v>
      </c>
      <c r="L74" s="3" t="s">
        <v>74</v>
      </c>
      <c r="M74" s="3" t="s">
        <v>70</v>
      </c>
    </row>
    <row r="75" ht="15.75" customHeight="1">
      <c r="A75" s="2" t="s">
        <v>235</v>
      </c>
      <c r="B75" s="2" t="s">
        <v>236</v>
      </c>
      <c r="C75" s="2" t="s">
        <v>16</v>
      </c>
      <c r="D75" s="2" t="s">
        <v>237</v>
      </c>
      <c r="E75" s="3" t="s">
        <v>10</v>
      </c>
      <c r="F75" s="4">
        <v>3.0</v>
      </c>
      <c r="G75" s="4">
        <v>450000.0</v>
      </c>
      <c r="H75" s="5">
        <v>0.0</v>
      </c>
      <c r="I75" s="4">
        <f t="shared" si="1"/>
        <v>1350000</v>
      </c>
      <c r="J75" s="3" t="s">
        <v>117</v>
      </c>
      <c r="K75" s="3" t="s">
        <v>77</v>
      </c>
      <c r="L75" s="3" t="s">
        <v>82</v>
      </c>
      <c r="M75" s="3" t="s">
        <v>70</v>
      </c>
    </row>
    <row r="76" ht="15.75" customHeight="1">
      <c r="A76" s="2" t="s">
        <v>238</v>
      </c>
      <c r="B76" s="2" t="s">
        <v>236</v>
      </c>
      <c r="C76" s="2" t="s">
        <v>8</v>
      </c>
      <c r="D76" s="3" t="s">
        <v>239</v>
      </c>
      <c r="E76" s="3" t="s">
        <v>10</v>
      </c>
      <c r="F76" s="4">
        <v>2.0</v>
      </c>
      <c r="G76" s="4">
        <v>1850000.0</v>
      </c>
      <c r="H76" s="5">
        <v>0.0</v>
      </c>
      <c r="I76" s="4">
        <f t="shared" si="1"/>
        <v>3700000</v>
      </c>
      <c r="J76" s="3" t="s">
        <v>58</v>
      </c>
      <c r="K76" s="3" t="s">
        <v>77</v>
      </c>
      <c r="L76" s="3" t="s">
        <v>74</v>
      </c>
      <c r="M76" s="3" t="s">
        <v>65</v>
      </c>
    </row>
    <row r="77" ht="15.75" customHeight="1">
      <c r="A77" s="2" t="s">
        <v>240</v>
      </c>
      <c r="B77" s="2" t="s">
        <v>236</v>
      </c>
      <c r="C77" s="2" t="s">
        <v>27</v>
      </c>
      <c r="D77" s="3" t="s">
        <v>241</v>
      </c>
      <c r="E77" s="3" t="s">
        <v>21</v>
      </c>
      <c r="F77" s="4">
        <v>1.0</v>
      </c>
      <c r="G77" s="4">
        <v>159000.0</v>
      </c>
      <c r="H77" s="5">
        <v>0.0</v>
      </c>
      <c r="I77" s="4">
        <f t="shared" si="1"/>
        <v>159000</v>
      </c>
      <c r="J77" s="3" t="s">
        <v>80</v>
      </c>
      <c r="K77" s="3" t="s">
        <v>81</v>
      </c>
      <c r="L77" s="2" t="s">
        <v>242</v>
      </c>
      <c r="M77" s="3" t="s">
        <v>65</v>
      </c>
    </row>
    <row r="78" ht="15.75" customHeight="1">
      <c r="A78" s="2" t="s">
        <v>243</v>
      </c>
      <c r="B78" s="2" t="s">
        <v>244</v>
      </c>
      <c r="C78" s="2" t="s">
        <v>14</v>
      </c>
      <c r="D78" s="3" t="s">
        <v>15</v>
      </c>
      <c r="E78" s="3" t="s">
        <v>10</v>
      </c>
      <c r="F78" s="4">
        <v>3.0</v>
      </c>
      <c r="G78" s="4">
        <v>189000.0</v>
      </c>
      <c r="H78" s="5">
        <v>0.0</v>
      </c>
      <c r="I78" s="4">
        <f t="shared" si="1"/>
        <v>567000</v>
      </c>
      <c r="J78" s="3" t="s">
        <v>113</v>
      </c>
      <c r="K78" s="3" t="s">
        <v>87</v>
      </c>
      <c r="L78" s="3" t="s">
        <v>69</v>
      </c>
      <c r="M78" s="3" t="s">
        <v>61</v>
      </c>
    </row>
    <row r="79" ht="15.75" customHeight="1">
      <c r="A79" s="2" t="s">
        <v>245</v>
      </c>
      <c r="B79" s="2" t="s">
        <v>246</v>
      </c>
      <c r="C79" s="2" t="s">
        <v>8</v>
      </c>
      <c r="D79" s="3" t="s">
        <v>247</v>
      </c>
      <c r="E79" s="3" t="s">
        <v>10</v>
      </c>
      <c r="F79" s="4">
        <v>2.0</v>
      </c>
      <c r="G79" s="4">
        <v>1850000.0</v>
      </c>
      <c r="H79" s="5">
        <v>0.05</v>
      </c>
      <c r="I79" s="4">
        <f t="shared" si="1"/>
        <v>3515000</v>
      </c>
      <c r="J79" s="3" t="s">
        <v>113</v>
      </c>
      <c r="K79" s="3" t="s">
        <v>114</v>
      </c>
      <c r="L79" s="2" t="s">
        <v>248</v>
      </c>
      <c r="M79" s="3" t="s">
        <v>61</v>
      </c>
    </row>
    <row r="80" ht="15.75" customHeight="1">
      <c r="A80" s="2" t="s">
        <v>249</v>
      </c>
      <c r="B80" s="2" t="s">
        <v>246</v>
      </c>
      <c r="C80" s="2" t="s">
        <v>30</v>
      </c>
      <c r="D80" s="3" t="s">
        <v>250</v>
      </c>
      <c r="E80" s="3" t="s">
        <v>32</v>
      </c>
      <c r="F80" s="4">
        <v>1.0</v>
      </c>
      <c r="G80" s="4">
        <v>179000.0</v>
      </c>
      <c r="H80" s="5">
        <v>0.0</v>
      </c>
      <c r="I80" s="4">
        <f t="shared" si="1"/>
        <v>179000</v>
      </c>
      <c r="J80" s="3" t="s">
        <v>73</v>
      </c>
      <c r="K80" s="3" t="s">
        <v>54</v>
      </c>
      <c r="L80" s="3" t="s">
        <v>74</v>
      </c>
      <c r="M80" s="3" t="s">
        <v>61</v>
      </c>
    </row>
    <row r="81" ht="15.75" customHeight="1">
      <c r="A81" s="2" t="s">
        <v>251</v>
      </c>
      <c r="B81" s="2" t="s">
        <v>246</v>
      </c>
      <c r="C81" s="2" t="s">
        <v>27</v>
      </c>
      <c r="D81" s="3" t="s">
        <v>252</v>
      </c>
      <c r="E81" s="3" t="s">
        <v>21</v>
      </c>
      <c r="F81" s="4">
        <v>2.0</v>
      </c>
      <c r="G81" s="4">
        <v>159000.0</v>
      </c>
      <c r="H81" s="5">
        <v>0.0</v>
      </c>
      <c r="I81" s="4">
        <f t="shared" si="1"/>
        <v>318000</v>
      </c>
      <c r="J81" s="3" t="s">
        <v>68</v>
      </c>
      <c r="K81" s="3" t="s">
        <v>54</v>
      </c>
      <c r="L81" s="3" t="s">
        <v>69</v>
      </c>
      <c r="M81" s="3" t="s">
        <v>70</v>
      </c>
    </row>
    <row r="82" ht="15.75" customHeight="1">
      <c r="A82" s="2" t="s">
        <v>253</v>
      </c>
      <c r="B82" s="2" t="s">
        <v>246</v>
      </c>
      <c r="C82" s="2" t="s">
        <v>16</v>
      </c>
      <c r="D82" s="2" t="s">
        <v>254</v>
      </c>
      <c r="E82" s="3" t="s">
        <v>10</v>
      </c>
      <c r="F82" s="4">
        <v>1.0</v>
      </c>
      <c r="G82" s="4">
        <v>450000.0</v>
      </c>
      <c r="H82" s="5">
        <v>0.1</v>
      </c>
      <c r="I82" s="4">
        <f t="shared" si="1"/>
        <v>405000</v>
      </c>
      <c r="J82" s="3" t="s">
        <v>117</v>
      </c>
      <c r="K82" s="3" t="s">
        <v>81</v>
      </c>
      <c r="L82" s="2" t="s">
        <v>255</v>
      </c>
      <c r="M82" s="3" t="s">
        <v>61</v>
      </c>
    </row>
    <row r="83" ht="15.75" customHeight="1">
      <c r="A83" s="2" t="s">
        <v>256</v>
      </c>
      <c r="B83" s="2" t="s">
        <v>246</v>
      </c>
      <c r="C83" s="2" t="s">
        <v>27</v>
      </c>
      <c r="D83" s="3" t="s">
        <v>257</v>
      </c>
      <c r="E83" s="3" t="s">
        <v>21</v>
      </c>
      <c r="F83" s="4">
        <v>10.0</v>
      </c>
      <c r="G83" s="4">
        <v>159000.0</v>
      </c>
      <c r="H83" s="5">
        <v>0.0</v>
      </c>
      <c r="I83" s="4">
        <f t="shared" si="1"/>
        <v>1590000</v>
      </c>
      <c r="J83" s="3" t="s">
        <v>73</v>
      </c>
      <c r="K83" s="3" t="s">
        <v>87</v>
      </c>
      <c r="L83" s="3" t="s">
        <v>82</v>
      </c>
      <c r="M83" s="3" t="s">
        <v>70</v>
      </c>
    </row>
    <row r="84" ht="15.75" customHeight="1">
      <c r="A84" s="2" t="s">
        <v>258</v>
      </c>
      <c r="B84" s="2" t="s">
        <v>259</v>
      </c>
      <c r="C84" s="2" t="s">
        <v>23</v>
      </c>
      <c r="D84" s="3" t="s">
        <v>24</v>
      </c>
      <c r="E84" s="3" t="s">
        <v>25</v>
      </c>
      <c r="F84" s="4">
        <v>1.0</v>
      </c>
      <c r="G84" s="4">
        <v>380000.0</v>
      </c>
      <c r="H84" s="5">
        <v>0.05</v>
      </c>
      <c r="I84" s="4">
        <f t="shared" si="1"/>
        <v>361000</v>
      </c>
      <c r="J84" s="3" t="s">
        <v>165</v>
      </c>
      <c r="K84" s="3" t="s">
        <v>87</v>
      </c>
      <c r="L84" s="3" t="s">
        <v>69</v>
      </c>
      <c r="M84" s="3" t="s">
        <v>61</v>
      </c>
    </row>
    <row r="85" ht="15.75" customHeight="1">
      <c r="A85" s="2" t="s">
        <v>260</v>
      </c>
      <c r="B85" s="2" t="s">
        <v>259</v>
      </c>
      <c r="C85" s="2" t="s">
        <v>19</v>
      </c>
      <c r="D85" s="2" t="s">
        <v>261</v>
      </c>
      <c r="E85" s="3" t="s">
        <v>21</v>
      </c>
      <c r="F85" s="4">
        <v>1.0</v>
      </c>
      <c r="G85" s="4">
        <v>89000.0</v>
      </c>
      <c r="H85" s="5">
        <v>0.0</v>
      </c>
      <c r="I85" s="4">
        <f t="shared" si="1"/>
        <v>89000</v>
      </c>
      <c r="J85" s="3" t="s">
        <v>152</v>
      </c>
      <c r="K85" s="3" t="s">
        <v>81</v>
      </c>
      <c r="L85" s="3" t="s">
        <v>74</v>
      </c>
      <c r="M85" s="3" t="s">
        <v>65</v>
      </c>
    </row>
    <row r="86" ht="15.75" customHeight="1">
      <c r="A86" s="2" t="s">
        <v>262</v>
      </c>
      <c r="B86" s="2" t="s">
        <v>263</v>
      </c>
      <c r="C86" s="2" t="s">
        <v>19</v>
      </c>
      <c r="D86" s="2" t="s">
        <v>264</v>
      </c>
      <c r="E86" s="3" t="s">
        <v>21</v>
      </c>
      <c r="F86" s="4">
        <v>2.0</v>
      </c>
      <c r="G86" s="4">
        <v>89000.0</v>
      </c>
      <c r="H86" s="5">
        <v>0.0</v>
      </c>
      <c r="I86" s="4">
        <f t="shared" si="1"/>
        <v>178000</v>
      </c>
      <c r="J86" s="3" t="s">
        <v>63</v>
      </c>
      <c r="K86" s="3" t="s">
        <v>101</v>
      </c>
      <c r="L86" s="3" t="s">
        <v>82</v>
      </c>
      <c r="M86" s="3" t="s">
        <v>70</v>
      </c>
    </row>
    <row r="87" ht="15.75" customHeight="1">
      <c r="A87" s="2" t="s">
        <v>265</v>
      </c>
      <c r="B87" s="2" t="s">
        <v>263</v>
      </c>
      <c r="C87" s="2" t="s">
        <v>19</v>
      </c>
      <c r="D87" s="2" t="s">
        <v>266</v>
      </c>
      <c r="E87" s="3" t="s">
        <v>21</v>
      </c>
      <c r="F87" s="4">
        <v>1.0</v>
      </c>
      <c r="G87" s="4">
        <v>89000.0</v>
      </c>
      <c r="H87" s="5">
        <v>0.05</v>
      </c>
      <c r="I87" s="4">
        <f t="shared" si="1"/>
        <v>84550</v>
      </c>
      <c r="J87" s="3" t="s">
        <v>130</v>
      </c>
      <c r="K87" s="3" t="s">
        <v>104</v>
      </c>
      <c r="L87" s="3" t="s">
        <v>69</v>
      </c>
      <c r="M87" s="3" t="s">
        <v>70</v>
      </c>
    </row>
    <row r="88" ht="15.75" customHeight="1">
      <c r="A88" s="2" t="s">
        <v>267</v>
      </c>
      <c r="B88" s="2" t="s">
        <v>268</v>
      </c>
      <c r="C88" s="2" t="s">
        <v>38</v>
      </c>
      <c r="D88" s="3" t="s">
        <v>39</v>
      </c>
      <c r="E88" s="3" t="s">
        <v>25</v>
      </c>
      <c r="F88" s="4">
        <v>2.0</v>
      </c>
      <c r="G88" s="4">
        <v>129000.0</v>
      </c>
      <c r="H88" s="5">
        <v>0.0</v>
      </c>
      <c r="I88" s="4">
        <f t="shared" si="1"/>
        <v>258000</v>
      </c>
      <c r="J88" s="3" t="s">
        <v>95</v>
      </c>
      <c r="K88" s="3" t="s">
        <v>54</v>
      </c>
      <c r="L88" s="3" t="s">
        <v>74</v>
      </c>
      <c r="M88" s="3" t="s">
        <v>56</v>
      </c>
    </row>
    <row r="89" ht="15.75" customHeight="1">
      <c r="A89" s="2" t="s">
        <v>269</v>
      </c>
      <c r="B89" s="2" t="s">
        <v>268</v>
      </c>
      <c r="C89" s="2" t="s">
        <v>27</v>
      </c>
      <c r="D89" s="3" t="s">
        <v>270</v>
      </c>
      <c r="E89" s="3" t="s">
        <v>21</v>
      </c>
      <c r="F89" s="4">
        <v>2.0</v>
      </c>
      <c r="G89" s="4">
        <v>159000.0</v>
      </c>
      <c r="H89" s="5">
        <v>0.1</v>
      </c>
      <c r="I89" s="4">
        <f t="shared" si="1"/>
        <v>286200</v>
      </c>
      <c r="J89" s="3" t="s">
        <v>165</v>
      </c>
      <c r="K89" s="3" t="s">
        <v>101</v>
      </c>
      <c r="L89" s="2" t="s">
        <v>271</v>
      </c>
      <c r="M89" s="3" t="s">
        <v>61</v>
      </c>
    </row>
    <row r="90" ht="15.75" customHeight="1">
      <c r="A90" s="2" t="s">
        <v>272</v>
      </c>
      <c r="B90" s="2" t="s">
        <v>268</v>
      </c>
      <c r="C90" s="2" t="s">
        <v>30</v>
      </c>
      <c r="D90" s="3" t="s">
        <v>273</v>
      </c>
      <c r="E90" s="3" t="s">
        <v>32</v>
      </c>
      <c r="F90" s="4">
        <v>2.0</v>
      </c>
      <c r="G90" s="4">
        <v>179000.0</v>
      </c>
      <c r="H90" s="5">
        <v>0.0</v>
      </c>
      <c r="I90" s="4">
        <f t="shared" si="1"/>
        <v>358000</v>
      </c>
      <c r="J90" s="3" t="s">
        <v>80</v>
      </c>
      <c r="K90" s="3" t="s">
        <v>114</v>
      </c>
      <c r="L90" s="3" t="s">
        <v>74</v>
      </c>
      <c r="M90" s="3" t="s">
        <v>61</v>
      </c>
    </row>
    <row r="91" ht="15.75" customHeight="1">
      <c r="A91" s="2" t="s">
        <v>274</v>
      </c>
      <c r="B91" s="2" t="s">
        <v>275</v>
      </c>
      <c r="C91" s="2" t="s">
        <v>19</v>
      </c>
      <c r="D91" s="2" t="s">
        <v>276</v>
      </c>
      <c r="E91" s="3" t="s">
        <v>21</v>
      </c>
      <c r="F91" s="4">
        <v>3.0</v>
      </c>
      <c r="G91" s="4">
        <v>89000.0</v>
      </c>
      <c r="H91" s="5">
        <v>0.05</v>
      </c>
      <c r="I91" s="4">
        <f t="shared" si="1"/>
        <v>253650</v>
      </c>
      <c r="J91" s="3" t="s">
        <v>53</v>
      </c>
      <c r="K91" s="3" t="s">
        <v>54</v>
      </c>
      <c r="L91" s="3" t="s">
        <v>69</v>
      </c>
      <c r="M91" s="3" t="s">
        <v>65</v>
      </c>
    </row>
    <row r="92" ht="15.75" customHeight="1">
      <c r="A92" s="2" t="s">
        <v>277</v>
      </c>
      <c r="B92" s="2" t="s">
        <v>275</v>
      </c>
      <c r="C92" s="2" t="s">
        <v>16</v>
      </c>
      <c r="D92" s="2" t="s">
        <v>278</v>
      </c>
      <c r="E92" s="3" t="s">
        <v>10</v>
      </c>
      <c r="F92" s="4">
        <v>1.0</v>
      </c>
      <c r="G92" s="4">
        <v>450000.0</v>
      </c>
      <c r="H92" s="5">
        <v>0.05</v>
      </c>
      <c r="I92" s="4">
        <f t="shared" si="1"/>
        <v>427500</v>
      </c>
      <c r="J92" s="3" t="s">
        <v>130</v>
      </c>
      <c r="K92" s="3" t="s">
        <v>77</v>
      </c>
      <c r="L92" s="2" t="s">
        <v>279</v>
      </c>
      <c r="M92" s="3" t="s">
        <v>65</v>
      </c>
    </row>
    <row r="93" ht="15.75" customHeight="1">
      <c r="A93" s="2" t="s">
        <v>280</v>
      </c>
      <c r="B93" s="2" t="s">
        <v>275</v>
      </c>
      <c r="C93" s="2" t="s">
        <v>23</v>
      </c>
      <c r="D93" s="3" t="s">
        <v>24</v>
      </c>
      <c r="E93" s="3" t="s">
        <v>25</v>
      </c>
      <c r="F93" s="4">
        <v>1.0</v>
      </c>
      <c r="G93" s="4">
        <v>380000.0</v>
      </c>
      <c r="H93" s="5">
        <v>0.0</v>
      </c>
      <c r="I93" s="4">
        <f t="shared" si="1"/>
        <v>380000</v>
      </c>
      <c r="J93" s="3" t="s">
        <v>120</v>
      </c>
      <c r="K93" s="3" t="s">
        <v>101</v>
      </c>
      <c r="L93" s="3" t="s">
        <v>74</v>
      </c>
      <c r="M93" s="3" t="s">
        <v>70</v>
      </c>
    </row>
    <row r="94" ht="15.75" customHeight="1">
      <c r="A94" s="2" t="s">
        <v>281</v>
      </c>
      <c r="B94" s="2" t="s">
        <v>275</v>
      </c>
      <c r="C94" s="2" t="s">
        <v>27</v>
      </c>
      <c r="D94" s="3" t="s">
        <v>282</v>
      </c>
      <c r="E94" s="3" t="s">
        <v>21</v>
      </c>
      <c r="F94" s="4">
        <v>1.0</v>
      </c>
      <c r="G94" s="4">
        <v>159000.0</v>
      </c>
      <c r="H94" s="5">
        <v>0.0</v>
      </c>
      <c r="I94" s="4">
        <f t="shared" si="1"/>
        <v>159000</v>
      </c>
      <c r="J94" s="3" t="s">
        <v>120</v>
      </c>
      <c r="K94" s="3" t="s">
        <v>101</v>
      </c>
      <c r="L94" s="3" t="s">
        <v>74</v>
      </c>
      <c r="M94" s="3" t="s">
        <v>70</v>
      </c>
    </row>
    <row r="95" ht="15.75" customHeight="1">
      <c r="A95" s="2" t="s">
        <v>283</v>
      </c>
      <c r="B95" s="2" t="s">
        <v>284</v>
      </c>
      <c r="C95" s="2" t="s">
        <v>19</v>
      </c>
      <c r="D95" s="2" t="s">
        <v>285</v>
      </c>
      <c r="E95" s="3" t="s">
        <v>21</v>
      </c>
      <c r="F95" s="4">
        <v>2.0</v>
      </c>
      <c r="G95" s="4">
        <v>89000.0</v>
      </c>
      <c r="H95" s="5">
        <v>0.05</v>
      </c>
      <c r="I95" s="4">
        <f t="shared" si="1"/>
        <v>169100</v>
      </c>
      <c r="J95" s="3" t="s">
        <v>113</v>
      </c>
      <c r="K95" s="3" t="s">
        <v>104</v>
      </c>
      <c r="L95" s="3" t="s">
        <v>82</v>
      </c>
      <c r="M95" s="3" t="s">
        <v>56</v>
      </c>
    </row>
    <row r="96" ht="15.75" customHeight="1">
      <c r="A96" s="2" t="s">
        <v>286</v>
      </c>
      <c r="B96" s="2" t="s">
        <v>284</v>
      </c>
      <c r="C96" s="2" t="s">
        <v>38</v>
      </c>
      <c r="D96" s="3" t="s">
        <v>39</v>
      </c>
      <c r="E96" s="3" t="s">
        <v>25</v>
      </c>
      <c r="F96" s="4">
        <v>1.0</v>
      </c>
      <c r="G96" s="4">
        <v>129000.0</v>
      </c>
      <c r="H96" s="5">
        <v>0.0</v>
      </c>
      <c r="I96" s="4">
        <f t="shared" si="1"/>
        <v>129000</v>
      </c>
      <c r="J96" s="3" t="s">
        <v>95</v>
      </c>
      <c r="K96" s="3" t="s">
        <v>104</v>
      </c>
      <c r="L96" s="3" t="s">
        <v>69</v>
      </c>
      <c r="M96" s="3" t="s">
        <v>65</v>
      </c>
    </row>
    <row r="97" ht="15.75" customHeight="1">
      <c r="A97" s="2" t="s">
        <v>287</v>
      </c>
      <c r="B97" s="2" t="s">
        <v>284</v>
      </c>
      <c r="C97" s="2" t="s">
        <v>23</v>
      </c>
      <c r="D97" s="3" t="s">
        <v>24</v>
      </c>
      <c r="E97" s="3" t="s">
        <v>25</v>
      </c>
      <c r="F97" s="4">
        <v>1.0</v>
      </c>
      <c r="G97" s="4">
        <v>380000.0</v>
      </c>
      <c r="H97" s="5">
        <v>0.05</v>
      </c>
      <c r="I97" s="4">
        <f t="shared" si="1"/>
        <v>361000</v>
      </c>
      <c r="J97" s="3" t="s">
        <v>130</v>
      </c>
      <c r="K97" s="3" t="s">
        <v>101</v>
      </c>
      <c r="L97" s="3" t="s">
        <v>69</v>
      </c>
      <c r="M97" s="3" t="s">
        <v>61</v>
      </c>
    </row>
    <row r="98" ht="15.75" customHeight="1">
      <c r="A98" s="2" t="s">
        <v>288</v>
      </c>
      <c r="B98" s="2" t="s">
        <v>289</v>
      </c>
      <c r="C98" s="2" t="s">
        <v>14</v>
      </c>
      <c r="D98" s="3" t="s">
        <v>15</v>
      </c>
      <c r="E98" s="3" t="s">
        <v>10</v>
      </c>
      <c r="F98" s="4">
        <v>2.0</v>
      </c>
      <c r="G98" s="4">
        <v>189000.0</v>
      </c>
      <c r="H98" s="5">
        <v>0.0</v>
      </c>
      <c r="I98" s="4">
        <f t="shared" si="1"/>
        <v>378000</v>
      </c>
      <c r="J98" s="3" t="s">
        <v>95</v>
      </c>
      <c r="K98" s="3" t="s">
        <v>54</v>
      </c>
      <c r="L98" s="3" t="s">
        <v>82</v>
      </c>
      <c r="M98" s="3" t="s">
        <v>56</v>
      </c>
    </row>
    <row r="99" ht="15.75" customHeight="1">
      <c r="A99" s="2" t="s">
        <v>290</v>
      </c>
      <c r="B99" s="2" t="s">
        <v>289</v>
      </c>
      <c r="C99" s="2" t="s">
        <v>14</v>
      </c>
      <c r="D99" s="3" t="s">
        <v>15</v>
      </c>
      <c r="E99" s="3" t="s">
        <v>10</v>
      </c>
      <c r="F99" s="4">
        <v>5.0</v>
      </c>
      <c r="G99" s="4">
        <v>189000.0</v>
      </c>
      <c r="H99" s="5">
        <v>0.0</v>
      </c>
      <c r="I99" s="4">
        <f t="shared" si="1"/>
        <v>945000</v>
      </c>
      <c r="J99" s="3" t="s">
        <v>86</v>
      </c>
      <c r="K99" s="3" t="s">
        <v>81</v>
      </c>
      <c r="L99" s="3" t="s">
        <v>74</v>
      </c>
      <c r="M99" s="3" t="s">
        <v>56</v>
      </c>
    </row>
    <row r="100" ht="15.75" customHeight="1">
      <c r="A100" s="2" t="s">
        <v>291</v>
      </c>
      <c r="B100" s="2" t="s">
        <v>292</v>
      </c>
      <c r="C100" s="2" t="s">
        <v>12</v>
      </c>
      <c r="D100" s="3" t="s">
        <v>13</v>
      </c>
      <c r="E100" s="3" t="s">
        <v>10</v>
      </c>
      <c r="F100" s="4">
        <v>2.0</v>
      </c>
      <c r="G100" s="4">
        <v>45000.0</v>
      </c>
      <c r="H100" s="5">
        <v>0.0</v>
      </c>
      <c r="I100" s="4">
        <f t="shared" si="1"/>
        <v>90000</v>
      </c>
      <c r="J100" s="3" t="s">
        <v>130</v>
      </c>
      <c r="K100" s="3" t="s">
        <v>77</v>
      </c>
      <c r="L100" s="2" t="s">
        <v>293</v>
      </c>
      <c r="M100" s="3" t="s">
        <v>56</v>
      </c>
    </row>
    <row r="101" ht="15.75" customHeight="1">
      <c r="A101" s="2" t="s">
        <v>294</v>
      </c>
      <c r="B101" s="2" t="s">
        <v>295</v>
      </c>
      <c r="C101" s="2" t="s">
        <v>27</v>
      </c>
      <c r="D101" s="3" t="s">
        <v>296</v>
      </c>
      <c r="E101" s="3" t="s">
        <v>21</v>
      </c>
      <c r="F101" s="4">
        <v>1.0</v>
      </c>
      <c r="G101" s="4">
        <v>159000.0</v>
      </c>
      <c r="H101" s="5">
        <v>0.0</v>
      </c>
      <c r="I101" s="4">
        <f t="shared" si="1"/>
        <v>159000</v>
      </c>
      <c r="J101" s="3" t="s">
        <v>95</v>
      </c>
      <c r="K101" s="3" t="s">
        <v>87</v>
      </c>
      <c r="L101" s="2" t="s">
        <v>297</v>
      </c>
      <c r="M101" s="3" t="s">
        <v>56</v>
      </c>
    </row>
    <row r="102" ht="15.75" customHeight="1">
      <c r="A102" s="2" t="s">
        <v>298</v>
      </c>
      <c r="B102" s="2" t="s">
        <v>299</v>
      </c>
      <c r="C102" s="2" t="s">
        <v>30</v>
      </c>
      <c r="D102" s="3" t="s">
        <v>300</v>
      </c>
      <c r="E102" s="3" t="s">
        <v>32</v>
      </c>
      <c r="F102" s="4">
        <v>1.0</v>
      </c>
      <c r="G102" s="4">
        <v>179000.0</v>
      </c>
      <c r="H102" s="5">
        <v>0.0</v>
      </c>
      <c r="I102" s="4">
        <f t="shared" si="1"/>
        <v>179000</v>
      </c>
      <c r="J102" s="3" t="s">
        <v>58</v>
      </c>
      <c r="K102" s="3" t="s">
        <v>114</v>
      </c>
      <c r="L102" s="3" t="s">
        <v>69</v>
      </c>
      <c r="M102" s="3" t="s">
        <v>61</v>
      </c>
    </row>
    <row r="103" ht="15.75" customHeight="1">
      <c r="A103" s="2" t="s">
        <v>301</v>
      </c>
      <c r="B103" s="2" t="s">
        <v>299</v>
      </c>
      <c r="C103" s="2" t="s">
        <v>16</v>
      </c>
      <c r="D103" s="2" t="s">
        <v>302</v>
      </c>
      <c r="E103" s="3" t="s">
        <v>10</v>
      </c>
      <c r="F103" s="4">
        <v>5.0</v>
      </c>
      <c r="G103" s="4">
        <v>450000.0</v>
      </c>
      <c r="H103" s="5">
        <v>0.1</v>
      </c>
      <c r="I103" s="4">
        <f t="shared" si="1"/>
        <v>2025000</v>
      </c>
      <c r="J103" s="3" t="s">
        <v>165</v>
      </c>
      <c r="K103" s="3" t="s">
        <v>81</v>
      </c>
      <c r="L103" s="3" t="s">
        <v>74</v>
      </c>
      <c r="M103" s="3" t="s">
        <v>56</v>
      </c>
    </row>
    <row r="104" ht="15.75" customHeight="1">
      <c r="A104" s="2" t="s">
        <v>303</v>
      </c>
      <c r="B104" s="2" t="s">
        <v>304</v>
      </c>
      <c r="C104" s="2" t="s">
        <v>23</v>
      </c>
      <c r="D104" s="3" t="s">
        <v>24</v>
      </c>
      <c r="E104" s="3" t="s">
        <v>25</v>
      </c>
      <c r="F104" s="4">
        <v>3.0</v>
      </c>
      <c r="G104" s="4">
        <v>380000.0</v>
      </c>
      <c r="H104" s="5">
        <v>0.0</v>
      </c>
      <c r="I104" s="4">
        <f t="shared" si="1"/>
        <v>1140000</v>
      </c>
      <c r="J104" s="3" t="s">
        <v>120</v>
      </c>
      <c r="K104" s="3" t="s">
        <v>59</v>
      </c>
      <c r="L104" s="3" t="s">
        <v>69</v>
      </c>
      <c r="M104" s="3" t="s">
        <v>56</v>
      </c>
    </row>
    <row r="105" ht="15.75" customHeight="1">
      <c r="A105" s="2" t="s">
        <v>305</v>
      </c>
      <c r="B105" s="2" t="s">
        <v>304</v>
      </c>
      <c r="C105" s="2" t="s">
        <v>8</v>
      </c>
      <c r="D105" s="3" t="s">
        <v>306</v>
      </c>
      <c r="E105" s="3" t="s">
        <v>10</v>
      </c>
      <c r="F105" s="4">
        <v>1.0</v>
      </c>
      <c r="G105" s="4">
        <v>1850000.0</v>
      </c>
      <c r="H105" s="5">
        <v>0.0</v>
      </c>
      <c r="I105" s="4">
        <f t="shared" si="1"/>
        <v>1850000</v>
      </c>
      <c r="J105" s="3" t="s">
        <v>80</v>
      </c>
      <c r="K105" s="3" t="s">
        <v>77</v>
      </c>
      <c r="L105" s="3" t="s">
        <v>69</v>
      </c>
      <c r="M105" s="3" t="s">
        <v>61</v>
      </c>
    </row>
    <row r="106" ht="15.75" customHeight="1">
      <c r="A106" s="2" t="s">
        <v>307</v>
      </c>
      <c r="B106" s="2" t="s">
        <v>304</v>
      </c>
      <c r="C106" s="2" t="s">
        <v>12</v>
      </c>
      <c r="D106" s="3" t="s">
        <v>13</v>
      </c>
      <c r="E106" s="3" t="s">
        <v>10</v>
      </c>
      <c r="F106" s="4">
        <v>2.0</v>
      </c>
      <c r="G106" s="4">
        <v>45000.0</v>
      </c>
      <c r="H106" s="5">
        <v>0.05</v>
      </c>
      <c r="I106" s="4">
        <f t="shared" si="1"/>
        <v>85500</v>
      </c>
      <c r="J106" s="3" t="s">
        <v>68</v>
      </c>
      <c r="K106" s="3" t="s">
        <v>104</v>
      </c>
      <c r="L106" s="2" t="s">
        <v>308</v>
      </c>
      <c r="M106" s="3" t="s">
        <v>65</v>
      </c>
    </row>
    <row r="107" ht="15.75" customHeight="1">
      <c r="A107" s="2" t="s">
        <v>309</v>
      </c>
      <c r="B107" s="2" t="s">
        <v>310</v>
      </c>
      <c r="C107" s="2" t="s">
        <v>34</v>
      </c>
      <c r="D107" s="3" t="s">
        <v>35</v>
      </c>
      <c r="E107" s="3" t="s">
        <v>36</v>
      </c>
      <c r="F107" s="4">
        <v>1.0</v>
      </c>
      <c r="G107" s="4">
        <v>329000.0</v>
      </c>
      <c r="H107" s="5">
        <v>0.0</v>
      </c>
      <c r="I107" s="4">
        <f t="shared" si="1"/>
        <v>329000</v>
      </c>
      <c r="J107" s="3" t="s">
        <v>165</v>
      </c>
      <c r="K107" s="3" t="s">
        <v>101</v>
      </c>
      <c r="L107" s="3" t="s">
        <v>69</v>
      </c>
      <c r="M107" s="3" t="s">
        <v>65</v>
      </c>
    </row>
    <row r="108" ht="15.75" customHeight="1">
      <c r="A108" s="2" t="s">
        <v>311</v>
      </c>
      <c r="B108" s="2" t="s">
        <v>310</v>
      </c>
      <c r="C108" s="2" t="s">
        <v>38</v>
      </c>
      <c r="D108" s="3" t="s">
        <v>39</v>
      </c>
      <c r="E108" s="3" t="s">
        <v>25</v>
      </c>
      <c r="F108" s="4">
        <v>1.0</v>
      </c>
      <c r="G108" s="4">
        <v>129000.0</v>
      </c>
      <c r="H108" s="5">
        <v>0.0</v>
      </c>
      <c r="I108" s="4">
        <f t="shared" si="1"/>
        <v>129000</v>
      </c>
      <c r="J108" s="3" t="s">
        <v>73</v>
      </c>
      <c r="K108" s="3" t="s">
        <v>114</v>
      </c>
      <c r="L108" s="3" t="s">
        <v>69</v>
      </c>
      <c r="M108" s="3" t="s">
        <v>65</v>
      </c>
    </row>
    <row r="109" ht="15.75" customHeight="1">
      <c r="A109" s="2" t="s">
        <v>312</v>
      </c>
      <c r="B109" s="2" t="s">
        <v>310</v>
      </c>
      <c r="C109" s="2" t="s">
        <v>16</v>
      </c>
      <c r="D109" s="2" t="s">
        <v>313</v>
      </c>
      <c r="E109" s="3" t="s">
        <v>10</v>
      </c>
      <c r="F109" s="4">
        <v>5.0</v>
      </c>
      <c r="G109" s="4">
        <v>450000.0</v>
      </c>
      <c r="H109" s="5">
        <v>0.05</v>
      </c>
      <c r="I109" s="4">
        <f t="shared" si="1"/>
        <v>2137500</v>
      </c>
      <c r="J109" s="3" t="s">
        <v>80</v>
      </c>
      <c r="K109" s="3" t="s">
        <v>81</v>
      </c>
      <c r="L109" s="3" t="s">
        <v>82</v>
      </c>
      <c r="M109" s="3" t="s">
        <v>56</v>
      </c>
    </row>
    <row r="110" ht="15.75" customHeight="1">
      <c r="A110" s="2" t="s">
        <v>314</v>
      </c>
      <c r="B110" s="2" t="s">
        <v>315</v>
      </c>
      <c r="C110" s="2" t="s">
        <v>38</v>
      </c>
      <c r="D110" s="3" t="s">
        <v>39</v>
      </c>
      <c r="E110" s="3" t="s">
        <v>25</v>
      </c>
      <c r="F110" s="4">
        <v>2.0</v>
      </c>
      <c r="G110" s="4">
        <v>129000.0</v>
      </c>
      <c r="H110" s="5">
        <v>0.0</v>
      </c>
      <c r="I110" s="4">
        <f t="shared" si="1"/>
        <v>258000</v>
      </c>
      <c r="J110" s="3" t="s">
        <v>73</v>
      </c>
      <c r="K110" s="3" t="s">
        <v>59</v>
      </c>
      <c r="L110" s="2" t="s">
        <v>316</v>
      </c>
      <c r="M110" s="3" t="s">
        <v>56</v>
      </c>
    </row>
    <row r="111" ht="15.75" customHeight="1">
      <c r="A111" s="2" t="s">
        <v>317</v>
      </c>
      <c r="B111" s="2" t="s">
        <v>315</v>
      </c>
      <c r="C111" s="2" t="s">
        <v>34</v>
      </c>
      <c r="D111" s="3" t="s">
        <v>35</v>
      </c>
      <c r="E111" s="3" t="s">
        <v>36</v>
      </c>
      <c r="F111" s="4">
        <v>1.0</v>
      </c>
      <c r="G111" s="4">
        <v>329000.0</v>
      </c>
      <c r="H111" s="5">
        <v>0.0</v>
      </c>
      <c r="I111" s="4">
        <f t="shared" si="1"/>
        <v>329000</v>
      </c>
      <c r="J111" s="3" t="s">
        <v>58</v>
      </c>
      <c r="K111" s="3" t="s">
        <v>114</v>
      </c>
      <c r="L111" s="3" t="s">
        <v>69</v>
      </c>
      <c r="M111" s="3" t="s">
        <v>56</v>
      </c>
    </row>
    <row r="112" ht="15.75" customHeight="1">
      <c r="A112" s="2" t="s">
        <v>318</v>
      </c>
      <c r="B112" s="2" t="s">
        <v>315</v>
      </c>
      <c r="C112" s="2" t="s">
        <v>23</v>
      </c>
      <c r="D112" s="3" t="s">
        <v>24</v>
      </c>
      <c r="E112" s="3" t="s">
        <v>25</v>
      </c>
      <c r="F112" s="4">
        <v>1.0</v>
      </c>
      <c r="G112" s="4">
        <v>380000.0</v>
      </c>
      <c r="H112" s="5">
        <v>0.0</v>
      </c>
      <c r="I112" s="4">
        <f t="shared" si="1"/>
        <v>380000</v>
      </c>
      <c r="J112" s="3" t="s">
        <v>92</v>
      </c>
      <c r="K112" s="3" t="s">
        <v>54</v>
      </c>
      <c r="L112" s="3" t="s">
        <v>74</v>
      </c>
      <c r="M112" s="3" t="s">
        <v>56</v>
      </c>
    </row>
    <row r="113" ht="15.75" customHeight="1">
      <c r="A113" s="2" t="s">
        <v>319</v>
      </c>
      <c r="B113" s="2" t="s">
        <v>315</v>
      </c>
      <c r="C113" s="2" t="s">
        <v>16</v>
      </c>
      <c r="D113" s="2" t="s">
        <v>320</v>
      </c>
      <c r="E113" s="3" t="s">
        <v>10</v>
      </c>
      <c r="F113" s="4">
        <v>3.0</v>
      </c>
      <c r="G113" s="4">
        <v>450000.0</v>
      </c>
      <c r="H113" s="5">
        <v>0.0</v>
      </c>
      <c r="I113" s="4">
        <f t="shared" si="1"/>
        <v>1350000</v>
      </c>
      <c r="J113" s="3" t="s">
        <v>130</v>
      </c>
      <c r="K113" s="3" t="s">
        <v>54</v>
      </c>
      <c r="L113" s="2" t="s">
        <v>321</v>
      </c>
      <c r="M113" s="3" t="s">
        <v>61</v>
      </c>
    </row>
    <row r="114" ht="15.75" customHeight="1">
      <c r="A114" s="2" t="s">
        <v>322</v>
      </c>
      <c r="B114" s="2" t="s">
        <v>323</v>
      </c>
      <c r="C114" s="2" t="s">
        <v>19</v>
      </c>
      <c r="D114" s="2" t="s">
        <v>324</v>
      </c>
      <c r="E114" s="3" t="s">
        <v>21</v>
      </c>
      <c r="F114" s="4">
        <v>1.0</v>
      </c>
      <c r="G114" s="4">
        <v>89000.0</v>
      </c>
      <c r="H114" s="5">
        <v>0.1</v>
      </c>
      <c r="I114" s="4">
        <f t="shared" si="1"/>
        <v>80100</v>
      </c>
      <c r="J114" s="3" t="s">
        <v>113</v>
      </c>
      <c r="K114" s="3" t="s">
        <v>81</v>
      </c>
      <c r="L114" s="3" t="s">
        <v>74</v>
      </c>
      <c r="M114" s="3" t="s">
        <v>65</v>
      </c>
    </row>
    <row r="115" ht="15.75" customHeight="1">
      <c r="A115" s="2" t="s">
        <v>325</v>
      </c>
      <c r="B115" s="2" t="s">
        <v>323</v>
      </c>
      <c r="C115" s="2" t="s">
        <v>34</v>
      </c>
      <c r="D115" s="3" t="s">
        <v>35</v>
      </c>
      <c r="E115" s="3" t="s">
        <v>36</v>
      </c>
      <c r="F115" s="4">
        <v>1.0</v>
      </c>
      <c r="G115" s="4">
        <v>329000.0</v>
      </c>
      <c r="H115" s="5">
        <v>0.05</v>
      </c>
      <c r="I115" s="4">
        <f t="shared" si="1"/>
        <v>312550</v>
      </c>
      <c r="J115" s="3" t="s">
        <v>73</v>
      </c>
      <c r="K115" s="3" t="s">
        <v>114</v>
      </c>
      <c r="L115" s="2" t="s">
        <v>326</v>
      </c>
      <c r="M115" s="3" t="s">
        <v>56</v>
      </c>
    </row>
    <row r="116" ht="15.75" customHeight="1">
      <c r="A116" s="2" t="s">
        <v>327</v>
      </c>
      <c r="B116" s="2" t="s">
        <v>328</v>
      </c>
      <c r="C116" s="2" t="s">
        <v>34</v>
      </c>
      <c r="D116" s="3" t="s">
        <v>35</v>
      </c>
      <c r="E116" s="3" t="s">
        <v>36</v>
      </c>
      <c r="F116" s="4">
        <v>1.0</v>
      </c>
      <c r="G116" s="4">
        <v>329000.0</v>
      </c>
      <c r="H116" s="5">
        <v>0.1</v>
      </c>
      <c r="I116" s="4">
        <f t="shared" si="1"/>
        <v>296100</v>
      </c>
      <c r="J116" s="3" t="s">
        <v>120</v>
      </c>
      <c r="K116" s="3" t="s">
        <v>114</v>
      </c>
      <c r="L116" s="3" t="s">
        <v>74</v>
      </c>
      <c r="M116" s="3" t="s">
        <v>61</v>
      </c>
    </row>
    <row r="117" ht="15.75" customHeight="1">
      <c r="A117" s="2" t="s">
        <v>329</v>
      </c>
      <c r="B117" s="2" t="s">
        <v>328</v>
      </c>
      <c r="C117" s="2" t="s">
        <v>38</v>
      </c>
      <c r="D117" s="3" t="s">
        <v>39</v>
      </c>
      <c r="E117" s="3" t="s">
        <v>25</v>
      </c>
      <c r="F117" s="4">
        <v>1.0</v>
      </c>
      <c r="G117" s="4">
        <v>129000.0</v>
      </c>
      <c r="H117" s="5">
        <v>0.1</v>
      </c>
      <c r="I117" s="4">
        <f t="shared" si="1"/>
        <v>116100</v>
      </c>
      <c r="J117" s="3" t="s">
        <v>165</v>
      </c>
      <c r="K117" s="3" t="s">
        <v>54</v>
      </c>
      <c r="L117" s="2" t="s">
        <v>330</v>
      </c>
      <c r="M117" s="3" t="s">
        <v>61</v>
      </c>
    </row>
    <row r="118" ht="15.75" customHeight="1">
      <c r="A118" s="2" t="s">
        <v>331</v>
      </c>
      <c r="B118" s="2" t="s">
        <v>328</v>
      </c>
      <c r="C118" s="2" t="s">
        <v>12</v>
      </c>
      <c r="D118" s="3" t="s">
        <v>13</v>
      </c>
      <c r="E118" s="3" t="s">
        <v>10</v>
      </c>
      <c r="F118" s="4">
        <v>1.0</v>
      </c>
      <c r="G118" s="4">
        <v>45000.0</v>
      </c>
      <c r="H118" s="5">
        <v>0.05</v>
      </c>
      <c r="I118" s="4">
        <f t="shared" si="1"/>
        <v>42750</v>
      </c>
      <c r="J118" s="3" t="s">
        <v>152</v>
      </c>
      <c r="K118" s="3" t="s">
        <v>87</v>
      </c>
      <c r="L118" s="3" t="s">
        <v>74</v>
      </c>
      <c r="M118" s="3" t="s">
        <v>70</v>
      </c>
    </row>
    <row r="119" ht="15.75" customHeight="1">
      <c r="A119" s="2" t="s">
        <v>332</v>
      </c>
      <c r="B119" s="2" t="s">
        <v>328</v>
      </c>
      <c r="C119" s="2" t="s">
        <v>16</v>
      </c>
      <c r="D119" s="2" t="s">
        <v>333</v>
      </c>
      <c r="E119" s="3" t="s">
        <v>10</v>
      </c>
      <c r="F119" s="4">
        <v>1.0</v>
      </c>
      <c r="G119" s="4">
        <v>450000.0</v>
      </c>
      <c r="H119" s="5">
        <v>0.0</v>
      </c>
      <c r="I119" s="4">
        <f t="shared" si="1"/>
        <v>450000</v>
      </c>
      <c r="J119" s="3" t="s">
        <v>113</v>
      </c>
      <c r="K119" s="3" t="s">
        <v>101</v>
      </c>
      <c r="L119" s="2" t="s">
        <v>334</v>
      </c>
      <c r="M119" s="3" t="s">
        <v>70</v>
      </c>
    </row>
    <row r="120" ht="15.75" customHeight="1">
      <c r="A120" s="2" t="s">
        <v>335</v>
      </c>
      <c r="B120" s="2" t="s">
        <v>336</v>
      </c>
      <c r="C120" s="2" t="s">
        <v>27</v>
      </c>
      <c r="D120" s="3" t="s">
        <v>337</v>
      </c>
      <c r="E120" s="3" t="s">
        <v>21</v>
      </c>
      <c r="F120" s="4">
        <v>2.0</v>
      </c>
      <c r="G120" s="4">
        <v>159000.0</v>
      </c>
      <c r="H120" s="5">
        <v>0.0</v>
      </c>
      <c r="I120" s="4">
        <f t="shared" si="1"/>
        <v>318000</v>
      </c>
      <c r="J120" s="3" t="s">
        <v>152</v>
      </c>
      <c r="K120" s="3" t="s">
        <v>104</v>
      </c>
      <c r="L120" s="3" t="s">
        <v>74</v>
      </c>
      <c r="M120" s="3" t="s">
        <v>70</v>
      </c>
    </row>
    <row r="121" ht="15.75" customHeight="1">
      <c r="A121" s="2" t="s">
        <v>338</v>
      </c>
      <c r="B121" s="2" t="s">
        <v>336</v>
      </c>
      <c r="C121" s="2" t="s">
        <v>16</v>
      </c>
      <c r="D121" s="2" t="s">
        <v>339</v>
      </c>
      <c r="E121" s="3" t="s">
        <v>10</v>
      </c>
      <c r="F121" s="4">
        <v>2.0</v>
      </c>
      <c r="G121" s="4">
        <v>450000.0</v>
      </c>
      <c r="H121" s="5">
        <v>0.05</v>
      </c>
      <c r="I121" s="4">
        <f t="shared" si="1"/>
        <v>855000</v>
      </c>
      <c r="J121" s="3" t="s">
        <v>80</v>
      </c>
      <c r="K121" s="3" t="s">
        <v>104</v>
      </c>
      <c r="L121" s="3" t="s">
        <v>74</v>
      </c>
      <c r="M121" s="3" t="s">
        <v>70</v>
      </c>
    </row>
    <row r="122" ht="15.75" customHeight="1">
      <c r="A122" s="2" t="s">
        <v>340</v>
      </c>
      <c r="B122" s="2" t="s">
        <v>336</v>
      </c>
      <c r="C122" s="2" t="s">
        <v>38</v>
      </c>
      <c r="D122" s="3" t="s">
        <v>39</v>
      </c>
      <c r="E122" s="3" t="s">
        <v>25</v>
      </c>
      <c r="F122" s="4">
        <v>10.0</v>
      </c>
      <c r="G122" s="4">
        <v>129000.0</v>
      </c>
      <c r="H122" s="5">
        <v>0.0</v>
      </c>
      <c r="I122" s="4">
        <f t="shared" si="1"/>
        <v>1290000</v>
      </c>
      <c r="J122" s="3" t="s">
        <v>86</v>
      </c>
      <c r="K122" s="3" t="s">
        <v>87</v>
      </c>
      <c r="L122" s="3" t="s">
        <v>74</v>
      </c>
      <c r="M122" s="3" t="s">
        <v>56</v>
      </c>
    </row>
    <row r="123" ht="15.75" customHeight="1">
      <c r="A123" s="2" t="s">
        <v>341</v>
      </c>
      <c r="B123" s="2" t="s">
        <v>336</v>
      </c>
      <c r="C123" s="2" t="s">
        <v>16</v>
      </c>
      <c r="D123" s="2" t="s">
        <v>342</v>
      </c>
      <c r="E123" s="3" t="s">
        <v>10</v>
      </c>
      <c r="F123" s="4">
        <v>3.0</v>
      </c>
      <c r="G123" s="4">
        <v>450000.0</v>
      </c>
      <c r="H123" s="5">
        <v>0.0</v>
      </c>
      <c r="I123" s="4">
        <f t="shared" si="1"/>
        <v>1350000</v>
      </c>
      <c r="J123" s="3" t="s">
        <v>63</v>
      </c>
      <c r="K123" s="3" t="s">
        <v>77</v>
      </c>
      <c r="L123" s="2" t="s">
        <v>343</v>
      </c>
      <c r="M123" s="3" t="s">
        <v>65</v>
      </c>
    </row>
    <row r="124" ht="15.75" customHeight="1">
      <c r="A124" s="2" t="s">
        <v>344</v>
      </c>
      <c r="B124" s="2" t="s">
        <v>336</v>
      </c>
      <c r="C124" s="2" t="s">
        <v>30</v>
      </c>
      <c r="D124" s="3" t="s">
        <v>345</v>
      </c>
      <c r="E124" s="3" t="s">
        <v>32</v>
      </c>
      <c r="F124" s="4">
        <v>1.0</v>
      </c>
      <c r="G124" s="4">
        <v>179000.0</v>
      </c>
      <c r="H124" s="5">
        <v>0.0</v>
      </c>
      <c r="I124" s="4">
        <f t="shared" si="1"/>
        <v>179000</v>
      </c>
      <c r="J124" s="3" t="s">
        <v>73</v>
      </c>
      <c r="K124" s="3" t="s">
        <v>87</v>
      </c>
      <c r="L124" s="2" t="s">
        <v>346</v>
      </c>
      <c r="M124" s="3" t="s">
        <v>65</v>
      </c>
    </row>
    <row r="125" ht="15.75" customHeight="1">
      <c r="A125" s="2" t="s">
        <v>347</v>
      </c>
      <c r="B125" s="2" t="s">
        <v>348</v>
      </c>
      <c r="C125" s="2" t="s">
        <v>19</v>
      </c>
      <c r="D125" s="2" t="s">
        <v>349</v>
      </c>
      <c r="E125" s="3" t="s">
        <v>21</v>
      </c>
      <c r="F125" s="4">
        <v>3.0</v>
      </c>
      <c r="G125" s="4">
        <v>89000.0</v>
      </c>
      <c r="H125" s="5">
        <v>0.0</v>
      </c>
      <c r="I125" s="4">
        <f t="shared" si="1"/>
        <v>267000</v>
      </c>
      <c r="J125" s="3" t="s">
        <v>80</v>
      </c>
      <c r="K125" s="3" t="s">
        <v>104</v>
      </c>
      <c r="L125" s="3" t="s">
        <v>69</v>
      </c>
      <c r="M125" s="3" t="s">
        <v>70</v>
      </c>
    </row>
    <row r="126" ht="15.75" customHeight="1">
      <c r="A126" s="2" t="s">
        <v>350</v>
      </c>
      <c r="B126" s="2" t="s">
        <v>348</v>
      </c>
      <c r="C126" s="2" t="s">
        <v>30</v>
      </c>
      <c r="D126" s="3" t="s">
        <v>351</v>
      </c>
      <c r="E126" s="3" t="s">
        <v>32</v>
      </c>
      <c r="F126" s="4">
        <v>1.0</v>
      </c>
      <c r="G126" s="4">
        <v>179000.0</v>
      </c>
      <c r="H126" s="5">
        <v>0.0</v>
      </c>
      <c r="I126" s="4">
        <f t="shared" si="1"/>
        <v>179000</v>
      </c>
      <c r="J126" s="3" t="s">
        <v>53</v>
      </c>
      <c r="K126" s="3" t="s">
        <v>101</v>
      </c>
      <c r="L126" s="3" t="s">
        <v>69</v>
      </c>
      <c r="M126" s="3" t="s">
        <v>70</v>
      </c>
    </row>
    <row r="127" ht="15.75" customHeight="1">
      <c r="A127" s="2" t="s">
        <v>352</v>
      </c>
      <c r="B127" s="2" t="s">
        <v>348</v>
      </c>
      <c r="C127" s="2" t="s">
        <v>23</v>
      </c>
      <c r="D127" s="3" t="s">
        <v>24</v>
      </c>
      <c r="E127" s="3" t="s">
        <v>25</v>
      </c>
      <c r="F127" s="4">
        <v>2.0</v>
      </c>
      <c r="G127" s="4">
        <v>380000.0</v>
      </c>
      <c r="H127" s="5">
        <v>0.0</v>
      </c>
      <c r="I127" s="4">
        <f t="shared" si="1"/>
        <v>760000</v>
      </c>
      <c r="J127" s="3" t="s">
        <v>63</v>
      </c>
      <c r="K127" s="3" t="s">
        <v>87</v>
      </c>
      <c r="L127" s="3" t="s">
        <v>74</v>
      </c>
      <c r="M127" s="3" t="s">
        <v>61</v>
      </c>
    </row>
    <row r="128" ht="15.75" customHeight="1">
      <c r="A128" s="2" t="s">
        <v>353</v>
      </c>
      <c r="B128" s="2" t="s">
        <v>348</v>
      </c>
      <c r="C128" s="2" t="s">
        <v>38</v>
      </c>
      <c r="D128" s="3" t="s">
        <v>39</v>
      </c>
      <c r="E128" s="3" t="s">
        <v>25</v>
      </c>
      <c r="F128" s="4">
        <v>1.0</v>
      </c>
      <c r="G128" s="4">
        <v>129000.0</v>
      </c>
      <c r="H128" s="5">
        <v>0.1</v>
      </c>
      <c r="I128" s="4">
        <f t="shared" si="1"/>
        <v>116100</v>
      </c>
      <c r="J128" s="3" t="s">
        <v>117</v>
      </c>
      <c r="K128" s="3" t="s">
        <v>59</v>
      </c>
      <c r="L128" s="3" t="s">
        <v>74</v>
      </c>
      <c r="M128" s="3" t="s">
        <v>56</v>
      </c>
    </row>
    <row r="129" ht="15.75" customHeight="1">
      <c r="A129" s="2" t="s">
        <v>354</v>
      </c>
      <c r="B129" s="2" t="s">
        <v>355</v>
      </c>
      <c r="C129" s="2" t="s">
        <v>38</v>
      </c>
      <c r="D129" s="3" t="s">
        <v>39</v>
      </c>
      <c r="E129" s="3" t="s">
        <v>25</v>
      </c>
      <c r="F129" s="4">
        <v>1.0</v>
      </c>
      <c r="G129" s="4">
        <v>129000.0</v>
      </c>
      <c r="H129" s="5">
        <v>0.05</v>
      </c>
      <c r="I129" s="4">
        <f t="shared" si="1"/>
        <v>122550</v>
      </c>
      <c r="J129" s="3" t="s">
        <v>113</v>
      </c>
      <c r="K129" s="3" t="s">
        <v>59</v>
      </c>
      <c r="L129" s="3" t="s">
        <v>69</v>
      </c>
      <c r="M129" s="3" t="s">
        <v>61</v>
      </c>
    </row>
    <row r="130" ht="15.75" customHeight="1">
      <c r="A130" s="2" t="s">
        <v>356</v>
      </c>
      <c r="B130" s="2" t="s">
        <v>357</v>
      </c>
      <c r="C130" s="2" t="s">
        <v>19</v>
      </c>
      <c r="D130" s="2" t="s">
        <v>358</v>
      </c>
      <c r="E130" s="3" t="s">
        <v>21</v>
      </c>
      <c r="F130" s="4">
        <v>10.0</v>
      </c>
      <c r="G130" s="4">
        <v>89000.0</v>
      </c>
      <c r="H130" s="5">
        <v>0.05</v>
      </c>
      <c r="I130" s="4">
        <f t="shared" si="1"/>
        <v>845500</v>
      </c>
      <c r="J130" s="3" t="s">
        <v>53</v>
      </c>
      <c r="K130" s="3" t="s">
        <v>59</v>
      </c>
      <c r="L130" s="2" t="s">
        <v>359</v>
      </c>
      <c r="M130" s="3" t="s">
        <v>65</v>
      </c>
    </row>
    <row r="131" ht="15.75" customHeight="1">
      <c r="A131" s="2" t="s">
        <v>360</v>
      </c>
      <c r="B131" s="2" t="s">
        <v>357</v>
      </c>
      <c r="C131" s="2" t="s">
        <v>19</v>
      </c>
      <c r="D131" s="2" t="s">
        <v>361</v>
      </c>
      <c r="E131" s="3" t="s">
        <v>21</v>
      </c>
      <c r="F131" s="4">
        <v>1.0</v>
      </c>
      <c r="G131" s="4">
        <v>89000.0</v>
      </c>
      <c r="H131" s="5">
        <v>0.05</v>
      </c>
      <c r="I131" s="4">
        <f t="shared" si="1"/>
        <v>84550</v>
      </c>
      <c r="J131" s="3" t="s">
        <v>152</v>
      </c>
      <c r="K131" s="3" t="s">
        <v>81</v>
      </c>
      <c r="L131" s="2" t="s">
        <v>362</v>
      </c>
      <c r="M131" s="3" t="s">
        <v>56</v>
      </c>
    </row>
    <row r="132" ht="15.75" customHeight="1">
      <c r="A132" s="2" t="s">
        <v>363</v>
      </c>
      <c r="B132" s="2" t="s">
        <v>357</v>
      </c>
      <c r="C132" s="2" t="s">
        <v>34</v>
      </c>
      <c r="D132" s="3" t="s">
        <v>35</v>
      </c>
      <c r="E132" s="3" t="s">
        <v>36</v>
      </c>
      <c r="F132" s="4">
        <v>5.0</v>
      </c>
      <c r="G132" s="4">
        <v>329000.0</v>
      </c>
      <c r="H132" s="5">
        <v>0.05</v>
      </c>
      <c r="I132" s="4">
        <f t="shared" si="1"/>
        <v>1562750</v>
      </c>
      <c r="J132" s="3" t="s">
        <v>95</v>
      </c>
      <c r="K132" s="3" t="s">
        <v>81</v>
      </c>
      <c r="L132" s="3" t="s">
        <v>82</v>
      </c>
      <c r="M132" s="3" t="s">
        <v>70</v>
      </c>
    </row>
    <row r="133" ht="15.75" customHeight="1">
      <c r="A133" s="2" t="s">
        <v>364</v>
      </c>
      <c r="B133" s="2" t="s">
        <v>365</v>
      </c>
      <c r="C133" s="2" t="s">
        <v>27</v>
      </c>
      <c r="D133" s="3" t="s">
        <v>366</v>
      </c>
      <c r="E133" s="3" t="s">
        <v>21</v>
      </c>
      <c r="F133" s="4">
        <v>1.0</v>
      </c>
      <c r="G133" s="4">
        <v>159000.0</v>
      </c>
      <c r="H133" s="5">
        <v>0.05</v>
      </c>
      <c r="I133" s="4">
        <f t="shared" si="1"/>
        <v>151050</v>
      </c>
      <c r="J133" s="3" t="s">
        <v>165</v>
      </c>
      <c r="K133" s="3" t="s">
        <v>104</v>
      </c>
      <c r="L133" s="2" t="s">
        <v>367</v>
      </c>
      <c r="M133" s="3" t="s">
        <v>61</v>
      </c>
    </row>
    <row r="134" ht="15.75" customHeight="1">
      <c r="A134" s="2" t="s">
        <v>368</v>
      </c>
      <c r="B134" s="2" t="s">
        <v>365</v>
      </c>
      <c r="C134" s="2" t="s">
        <v>27</v>
      </c>
      <c r="D134" s="3" t="s">
        <v>369</v>
      </c>
      <c r="E134" s="3" t="s">
        <v>21</v>
      </c>
      <c r="F134" s="4">
        <v>1.0</v>
      </c>
      <c r="G134" s="4">
        <v>159000.0</v>
      </c>
      <c r="H134" s="5">
        <v>0.05</v>
      </c>
      <c r="I134" s="4">
        <f t="shared" si="1"/>
        <v>151050</v>
      </c>
      <c r="J134" s="3" t="s">
        <v>165</v>
      </c>
      <c r="K134" s="3" t="s">
        <v>104</v>
      </c>
      <c r="L134" s="3" t="s">
        <v>69</v>
      </c>
      <c r="M134" s="3" t="s">
        <v>65</v>
      </c>
    </row>
    <row r="135" ht="15.75" customHeight="1">
      <c r="A135" s="2" t="s">
        <v>370</v>
      </c>
      <c r="B135" s="2" t="s">
        <v>371</v>
      </c>
      <c r="C135" s="2" t="s">
        <v>38</v>
      </c>
      <c r="D135" s="3" t="s">
        <v>39</v>
      </c>
      <c r="E135" s="3" t="s">
        <v>25</v>
      </c>
      <c r="F135" s="4">
        <v>10.0</v>
      </c>
      <c r="G135" s="4">
        <v>129000.0</v>
      </c>
      <c r="H135" s="5">
        <v>0.0</v>
      </c>
      <c r="I135" s="4">
        <f t="shared" si="1"/>
        <v>1290000</v>
      </c>
      <c r="J135" s="3" t="s">
        <v>73</v>
      </c>
      <c r="K135" s="3" t="s">
        <v>54</v>
      </c>
      <c r="L135" s="3" t="s">
        <v>82</v>
      </c>
      <c r="M135" s="3" t="s">
        <v>70</v>
      </c>
    </row>
    <row r="136" ht="15.75" customHeight="1">
      <c r="A136" s="2" t="s">
        <v>372</v>
      </c>
      <c r="B136" s="2" t="s">
        <v>371</v>
      </c>
      <c r="C136" s="2" t="s">
        <v>23</v>
      </c>
      <c r="D136" s="3" t="s">
        <v>24</v>
      </c>
      <c r="E136" s="3" t="s">
        <v>25</v>
      </c>
      <c r="F136" s="4">
        <v>1.0</v>
      </c>
      <c r="G136" s="4">
        <v>380000.0</v>
      </c>
      <c r="H136" s="5">
        <v>0.0</v>
      </c>
      <c r="I136" s="4">
        <f t="shared" si="1"/>
        <v>380000</v>
      </c>
      <c r="J136" s="3" t="s">
        <v>165</v>
      </c>
      <c r="K136" s="3" t="s">
        <v>81</v>
      </c>
      <c r="L136" s="3" t="s">
        <v>74</v>
      </c>
      <c r="M136" s="3" t="s">
        <v>65</v>
      </c>
    </row>
    <row r="137" ht="15.75" customHeight="1">
      <c r="A137" s="2" t="s">
        <v>373</v>
      </c>
      <c r="B137" s="2" t="s">
        <v>371</v>
      </c>
      <c r="C137" s="2" t="s">
        <v>16</v>
      </c>
      <c r="D137" s="2" t="s">
        <v>374</v>
      </c>
      <c r="E137" s="3" t="s">
        <v>10</v>
      </c>
      <c r="F137" s="4">
        <v>1.0</v>
      </c>
      <c r="G137" s="4">
        <v>450000.0</v>
      </c>
      <c r="H137" s="5">
        <v>0.0</v>
      </c>
      <c r="I137" s="4">
        <f t="shared" si="1"/>
        <v>450000</v>
      </c>
      <c r="J137" s="3" t="s">
        <v>120</v>
      </c>
      <c r="K137" s="3" t="s">
        <v>104</v>
      </c>
      <c r="L137" s="3" t="s">
        <v>74</v>
      </c>
      <c r="M137" s="3" t="s">
        <v>70</v>
      </c>
    </row>
    <row r="138" ht="15.75" customHeight="1">
      <c r="A138" s="2" t="s">
        <v>375</v>
      </c>
      <c r="B138" s="2" t="s">
        <v>371</v>
      </c>
      <c r="C138" s="2" t="s">
        <v>23</v>
      </c>
      <c r="D138" s="3" t="s">
        <v>24</v>
      </c>
      <c r="E138" s="3" t="s">
        <v>25</v>
      </c>
      <c r="F138" s="4">
        <v>3.0</v>
      </c>
      <c r="G138" s="4">
        <v>380000.0</v>
      </c>
      <c r="H138" s="5">
        <v>0.0</v>
      </c>
      <c r="I138" s="4">
        <f t="shared" si="1"/>
        <v>1140000</v>
      </c>
      <c r="J138" s="3" t="s">
        <v>113</v>
      </c>
      <c r="K138" s="3" t="s">
        <v>104</v>
      </c>
      <c r="L138" s="3" t="s">
        <v>82</v>
      </c>
      <c r="M138" s="3" t="s">
        <v>61</v>
      </c>
    </row>
    <row r="139" ht="15.75" customHeight="1">
      <c r="A139" s="2" t="s">
        <v>376</v>
      </c>
      <c r="B139" s="2" t="s">
        <v>377</v>
      </c>
      <c r="C139" s="2" t="s">
        <v>16</v>
      </c>
      <c r="D139" s="2" t="s">
        <v>378</v>
      </c>
      <c r="E139" s="3" t="s">
        <v>10</v>
      </c>
      <c r="F139" s="4">
        <v>3.0</v>
      </c>
      <c r="G139" s="4">
        <v>450000.0</v>
      </c>
      <c r="H139" s="5">
        <v>0.1</v>
      </c>
      <c r="I139" s="4">
        <f t="shared" si="1"/>
        <v>1215000</v>
      </c>
      <c r="J139" s="3" t="s">
        <v>68</v>
      </c>
      <c r="K139" s="3" t="s">
        <v>101</v>
      </c>
      <c r="L139" s="3" t="s">
        <v>74</v>
      </c>
      <c r="M139" s="3" t="s">
        <v>61</v>
      </c>
    </row>
    <row r="140" ht="15.75" customHeight="1">
      <c r="A140" s="2" t="s">
        <v>379</v>
      </c>
      <c r="B140" s="2" t="s">
        <v>377</v>
      </c>
      <c r="C140" s="2" t="s">
        <v>19</v>
      </c>
      <c r="D140" s="2" t="s">
        <v>380</v>
      </c>
      <c r="E140" s="3" t="s">
        <v>21</v>
      </c>
      <c r="F140" s="4">
        <v>1.0</v>
      </c>
      <c r="G140" s="4">
        <v>89000.0</v>
      </c>
      <c r="H140" s="5">
        <v>0.0</v>
      </c>
      <c r="I140" s="4">
        <f t="shared" si="1"/>
        <v>89000</v>
      </c>
      <c r="J140" s="3" t="s">
        <v>92</v>
      </c>
      <c r="K140" s="3" t="s">
        <v>101</v>
      </c>
      <c r="L140" s="3" t="s">
        <v>82</v>
      </c>
      <c r="M140" s="3" t="s">
        <v>61</v>
      </c>
    </row>
    <row r="141" ht="15.75" customHeight="1">
      <c r="A141" s="2" t="s">
        <v>381</v>
      </c>
      <c r="B141" s="2" t="s">
        <v>377</v>
      </c>
      <c r="C141" s="2" t="s">
        <v>23</v>
      </c>
      <c r="D141" s="3" t="s">
        <v>24</v>
      </c>
      <c r="E141" s="3" t="s">
        <v>25</v>
      </c>
      <c r="F141" s="4">
        <v>3.0</v>
      </c>
      <c r="G141" s="4">
        <v>380000.0</v>
      </c>
      <c r="H141" s="5">
        <v>0.0</v>
      </c>
      <c r="I141" s="4">
        <f t="shared" si="1"/>
        <v>1140000</v>
      </c>
      <c r="J141" s="3" t="s">
        <v>152</v>
      </c>
      <c r="K141" s="3" t="s">
        <v>114</v>
      </c>
      <c r="L141" s="3" t="s">
        <v>74</v>
      </c>
      <c r="M141" s="3" t="s">
        <v>56</v>
      </c>
    </row>
    <row r="142" ht="15.75" customHeight="1">
      <c r="A142" s="2" t="s">
        <v>382</v>
      </c>
      <c r="B142" s="2" t="s">
        <v>383</v>
      </c>
      <c r="C142" s="2" t="s">
        <v>34</v>
      </c>
      <c r="D142" s="3" t="s">
        <v>35</v>
      </c>
      <c r="E142" s="3" t="s">
        <v>36</v>
      </c>
      <c r="F142" s="4">
        <v>1.0</v>
      </c>
      <c r="G142" s="4">
        <v>329000.0</v>
      </c>
      <c r="H142" s="5">
        <v>0.0</v>
      </c>
      <c r="I142" s="4">
        <f t="shared" si="1"/>
        <v>329000</v>
      </c>
      <c r="J142" s="3" t="s">
        <v>120</v>
      </c>
      <c r="K142" s="3" t="s">
        <v>104</v>
      </c>
      <c r="L142" s="2" t="s">
        <v>384</v>
      </c>
      <c r="M142" s="3" t="s">
        <v>61</v>
      </c>
    </row>
    <row r="143" ht="15.75" customHeight="1">
      <c r="A143" s="2" t="s">
        <v>385</v>
      </c>
      <c r="B143" s="2" t="s">
        <v>386</v>
      </c>
      <c r="C143" s="2" t="s">
        <v>30</v>
      </c>
      <c r="D143" s="3" t="s">
        <v>387</v>
      </c>
      <c r="E143" s="3" t="s">
        <v>32</v>
      </c>
      <c r="F143" s="4">
        <v>1.0</v>
      </c>
      <c r="G143" s="4">
        <v>179000.0</v>
      </c>
      <c r="H143" s="5">
        <v>0.0</v>
      </c>
      <c r="I143" s="4">
        <f t="shared" si="1"/>
        <v>179000</v>
      </c>
      <c r="J143" s="3" t="s">
        <v>152</v>
      </c>
      <c r="K143" s="3" t="s">
        <v>101</v>
      </c>
      <c r="L143" s="2" t="s">
        <v>388</v>
      </c>
      <c r="M143" s="3" t="s">
        <v>70</v>
      </c>
    </row>
    <row r="144" ht="15.75" customHeight="1">
      <c r="A144" s="2" t="s">
        <v>389</v>
      </c>
      <c r="B144" s="2" t="s">
        <v>386</v>
      </c>
      <c r="C144" s="2" t="s">
        <v>27</v>
      </c>
      <c r="D144" s="3" t="s">
        <v>390</v>
      </c>
      <c r="E144" s="3" t="s">
        <v>21</v>
      </c>
      <c r="F144" s="4">
        <v>5.0</v>
      </c>
      <c r="G144" s="4">
        <v>159000.0</v>
      </c>
      <c r="H144" s="5">
        <v>0.1</v>
      </c>
      <c r="I144" s="4">
        <f t="shared" si="1"/>
        <v>715500</v>
      </c>
      <c r="J144" s="3" t="s">
        <v>80</v>
      </c>
      <c r="K144" s="3" t="s">
        <v>104</v>
      </c>
      <c r="L144" s="2" t="s">
        <v>391</v>
      </c>
      <c r="M144" s="3" t="s">
        <v>65</v>
      </c>
    </row>
    <row r="145" ht="15.75" customHeight="1">
      <c r="A145" s="2" t="s">
        <v>392</v>
      </c>
      <c r="B145" s="2" t="s">
        <v>393</v>
      </c>
      <c r="C145" s="2" t="s">
        <v>38</v>
      </c>
      <c r="D145" s="3" t="s">
        <v>39</v>
      </c>
      <c r="E145" s="3" t="s">
        <v>25</v>
      </c>
      <c r="F145" s="4">
        <v>1.0</v>
      </c>
      <c r="G145" s="4">
        <v>129000.0</v>
      </c>
      <c r="H145" s="5">
        <v>0.1</v>
      </c>
      <c r="I145" s="4">
        <f t="shared" si="1"/>
        <v>116100</v>
      </c>
      <c r="J145" s="3" t="s">
        <v>80</v>
      </c>
      <c r="K145" s="3" t="s">
        <v>59</v>
      </c>
      <c r="L145" s="2" t="s">
        <v>394</v>
      </c>
      <c r="M145" s="3" t="s">
        <v>56</v>
      </c>
    </row>
    <row r="146" ht="15.75" customHeight="1">
      <c r="A146" s="2" t="s">
        <v>395</v>
      </c>
      <c r="B146" s="2" t="s">
        <v>396</v>
      </c>
      <c r="C146" s="2" t="s">
        <v>19</v>
      </c>
      <c r="D146" s="2" t="s">
        <v>397</v>
      </c>
      <c r="E146" s="3" t="s">
        <v>21</v>
      </c>
      <c r="F146" s="4">
        <v>1.0</v>
      </c>
      <c r="G146" s="4">
        <v>89000.0</v>
      </c>
      <c r="H146" s="5">
        <v>0.0</v>
      </c>
      <c r="I146" s="4">
        <f t="shared" si="1"/>
        <v>89000</v>
      </c>
      <c r="J146" s="3" t="s">
        <v>86</v>
      </c>
      <c r="K146" s="3" t="s">
        <v>87</v>
      </c>
      <c r="L146" s="3" t="s">
        <v>74</v>
      </c>
      <c r="M146" s="3" t="s">
        <v>56</v>
      </c>
    </row>
    <row r="147" ht="15.75" customHeight="1">
      <c r="A147" s="2" t="s">
        <v>398</v>
      </c>
      <c r="B147" s="2" t="s">
        <v>396</v>
      </c>
      <c r="C147" s="2" t="s">
        <v>34</v>
      </c>
      <c r="D147" s="3" t="s">
        <v>35</v>
      </c>
      <c r="E147" s="3" t="s">
        <v>36</v>
      </c>
      <c r="F147" s="4">
        <v>3.0</v>
      </c>
      <c r="G147" s="4">
        <v>329000.0</v>
      </c>
      <c r="H147" s="5">
        <v>0.0</v>
      </c>
      <c r="I147" s="4">
        <f t="shared" si="1"/>
        <v>987000</v>
      </c>
      <c r="J147" s="3" t="s">
        <v>95</v>
      </c>
      <c r="K147" s="3" t="s">
        <v>101</v>
      </c>
      <c r="L147" s="3" t="s">
        <v>69</v>
      </c>
      <c r="M147" s="3" t="s">
        <v>65</v>
      </c>
    </row>
    <row r="148" ht="15.75" customHeight="1">
      <c r="A148" s="2" t="s">
        <v>399</v>
      </c>
      <c r="B148" s="2" t="s">
        <v>400</v>
      </c>
      <c r="C148" s="2" t="s">
        <v>14</v>
      </c>
      <c r="D148" s="3" t="s">
        <v>15</v>
      </c>
      <c r="E148" s="3" t="s">
        <v>10</v>
      </c>
      <c r="F148" s="4">
        <v>1.0</v>
      </c>
      <c r="G148" s="4">
        <v>189000.0</v>
      </c>
      <c r="H148" s="5">
        <v>0.0</v>
      </c>
      <c r="I148" s="4">
        <f t="shared" si="1"/>
        <v>189000</v>
      </c>
      <c r="J148" s="3" t="s">
        <v>68</v>
      </c>
      <c r="K148" s="3" t="s">
        <v>59</v>
      </c>
      <c r="L148" s="3" t="s">
        <v>74</v>
      </c>
      <c r="M148" s="3" t="s">
        <v>61</v>
      </c>
    </row>
    <row r="149" ht="15.75" customHeight="1">
      <c r="A149" s="2" t="s">
        <v>401</v>
      </c>
      <c r="B149" s="2" t="s">
        <v>400</v>
      </c>
      <c r="C149" s="2" t="s">
        <v>14</v>
      </c>
      <c r="D149" s="3" t="s">
        <v>15</v>
      </c>
      <c r="E149" s="3" t="s">
        <v>10</v>
      </c>
      <c r="F149" s="4">
        <v>5.0</v>
      </c>
      <c r="G149" s="4">
        <v>189000.0</v>
      </c>
      <c r="H149" s="5">
        <v>0.1</v>
      </c>
      <c r="I149" s="4">
        <f t="shared" si="1"/>
        <v>850500</v>
      </c>
      <c r="J149" s="3" t="s">
        <v>113</v>
      </c>
      <c r="K149" s="3" t="s">
        <v>87</v>
      </c>
      <c r="L149" s="3" t="s">
        <v>82</v>
      </c>
      <c r="M149" s="3" t="s">
        <v>70</v>
      </c>
    </row>
    <row r="150" ht="15.75" customHeight="1">
      <c r="A150" s="2" t="s">
        <v>402</v>
      </c>
      <c r="B150" s="2" t="s">
        <v>400</v>
      </c>
      <c r="C150" s="2" t="s">
        <v>38</v>
      </c>
      <c r="D150" s="3" t="s">
        <v>39</v>
      </c>
      <c r="E150" s="3" t="s">
        <v>25</v>
      </c>
      <c r="F150" s="4">
        <v>1.0</v>
      </c>
      <c r="G150" s="4">
        <v>129000.0</v>
      </c>
      <c r="H150" s="5">
        <v>0.05</v>
      </c>
      <c r="I150" s="4">
        <f t="shared" si="1"/>
        <v>122550</v>
      </c>
      <c r="J150" s="3" t="s">
        <v>152</v>
      </c>
      <c r="K150" s="3" t="s">
        <v>114</v>
      </c>
      <c r="L150" s="3" t="s">
        <v>82</v>
      </c>
      <c r="M150" s="3" t="s">
        <v>65</v>
      </c>
    </row>
    <row r="151" ht="15.75" customHeight="1">
      <c r="A151" s="2" t="s">
        <v>403</v>
      </c>
      <c r="B151" s="2" t="s">
        <v>400</v>
      </c>
      <c r="C151" s="2" t="s">
        <v>14</v>
      </c>
      <c r="D151" s="3" t="s">
        <v>15</v>
      </c>
      <c r="E151" s="3" t="s">
        <v>10</v>
      </c>
      <c r="F151" s="4">
        <v>3.0</v>
      </c>
      <c r="G151" s="4">
        <v>189000.0</v>
      </c>
      <c r="H151" s="5">
        <v>0.05</v>
      </c>
      <c r="I151" s="4">
        <f t="shared" si="1"/>
        <v>538650</v>
      </c>
      <c r="J151" s="3" t="s">
        <v>58</v>
      </c>
      <c r="K151" s="3" t="s">
        <v>81</v>
      </c>
      <c r="L151" s="3" t="s">
        <v>82</v>
      </c>
      <c r="M151" s="3" t="s">
        <v>56</v>
      </c>
    </row>
    <row r="152" ht="15.75" customHeight="1">
      <c r="A152" s="2" t="s">
        <v>404</v>
      </c>
      <c r="B152" s="2" t="s">
        <v>405</v>
      </c>
      <c r="C152" s="2" t="s">
        <v>38</v>
      </c>
      <c r="D152" s="3" t="s">
        <v>39</v>
      </c>
      <c r="E152" s="3" t="s">
        <v>25</v>
      </c>
      <c r="F152" s="4">
        <v>3.0</v>
      </c>
      <c r="G152" s="4">
        <v>129000.0</v>
      </c>
      <c r="H152" s="5">
        <v>0.0</v>
      </c>
      <c r="I152" s="4">
        <f t="shared" si="1"/>
        <v>387000</v>
      </c>
      <c r="J152" s="3" t="s">
        <v>120</v>
      </c>
      <c r="K152" s="3" t="s">
        <v>54</v>
      </c>
      <c r="L152" s="3" t="s">
        <v>74</v>
      </c>
      <c r="M152" s="3" t="s">
        <v>56</v>
      </c>
    </row>
    <row r="153" ht="15.75" customHeight="1">
      <c r="A153" s="2" t="s">
        <v>406</v>
      </c>
      <c r="B153" s="2" t="s">
        <v>405</v>
      </c>
      <c r="C153" s="2" t="s">
        <v>19</v>
      </c>
      <c r="D153" s="2" t="s">
        <v>407</v>
      </c>
      <c r="E153" s="3" t="s">
        <v>21</v>
      </c>
      <c r="F153" s="4">
        <v>2.0</v>
      </c>
      <c r="G153" s="4">
        <v>89000.0</v>
      </c>
      <c r="H153" s="5">
        <v>0.05</v>
      </c>
      <c r="I153" s="4">
        <f t="shared" si="1"/>
        <v>169100</v>
      </c>
      <c r="J153" s="3" t="s">
        <v>120</v>
      </c>
      <c r="K153" s="3" t="s">
        <v>59</v>
      </c>
      <c r="L153" s="2" t="s">
        <v>408</v>
      </c>
      <c r="M153" s="3" t="s">
        <v>61</v>
      </c>
    </row>
    <row r="154" ht="15.75" customHeight="1">
      <c r="A154" s="2" t="s">
        <v>409</v>
      </c>
      <c r="B154" s="2" t="s">
        <v>405</v>
      </c>
      <c r="C154" s="2" t="s">
        <v>14</v>
      </c>
      <c r="D154" s="3" t="s">
        <v>15</v>
      </c>
      <c r="E154" s="3" t="s">
        <v>10</v>
      </c>
      <c r="F154" s="4">
        <v>2.0</v>
      </c>
      <c r="G154" s="4">
        <v>189000.0</v>
      </c>
      <c r="H154" s="5">
        <v>0.0</v>
      </c>
      <c r="I154" s="4">
        <f t="shared" si="1"/>
        <v>378000</v>
      </c>
      <c r="J154" s="3" t="s">
        <v>73</v>
      </c>
      <c r="K154" s="3" t="s">
        <v>59</v>
      </c>
      <c r="L154" s="2" t="s">
        <v>410</v>
      </c>
      <c r="M154" s="3" t="s">
        <v>61</v>
      </c>
    </row>
    <row r="155" ht="15.75" customHeight="1">
      <c r="A155" s="2" t="s">
        <v>411</v>
      </c>
      <c r="B155" s="2" t="s">
        <v>405</v>
      </c>
      <c r="C155" s="2" t="s">
        <v>14</v>
      </c>
      <c r="D155" s="3" t="s">
        <v>15</v>
      </c>
      <c r="E155" s="3" t="s">
        <v>10</v>
      </c>
      <c r="F155" s="4">
        <v>2.0</v>
      </c>
      <c r="G155" s="4">
        <v>189000.0</v>
      </c>
      <c r="H155" s="5">
        <v>0.05</v>
      </c>
      <c r="I155" s="4">
        <f t="shared" si="1"/>
        <v>359100</v>
      </c>
      <c r="J155" s="3" t="s">
        <v>113</v>
      </c>
      <c r="K155" s="3" t="s">
        <v>87</v>
      </c>
      <c r="L155" s="2" t="s">
        <v>412</v>
      </c>
      <c r="M155" s="3" t="s">
        <v>61</v>
      </c>
    </row>
    <row r="156" ht="15.75" customHeight="1">
      <c r="A156" s="2" t="s">
        <v>413</v>
      </c>
      <c r="B156" s="2" t="s">
        <v>414</v>
      </c>
      <c r="C156" s="2" t="s">
        <v>12</v>
      </c>
      <c r="D156" s="3" t="s">
        <v>13</v>
      </c>
      <c r="E156" s="3" t="s">
        <v>10</v>
      </c>
      <c r="F156" s="4">
        <v>3.0</v>
      </c>
      <c r="G156" s="4">
        <v>45000.0</v>
      </c>
      <c r="H156" s="5">
        <v>0.0</v>
      </c>
      <c r="I156" s="4">
        <f t="shared" si="1"/>
        <v>135000</v>
      </c>
      <c r="J156" s="3" t="s">
        <v>53</v>
      </c>
      <c r="K156" s="3" t="s">
        <v>54</v>
      </c>
      <c r="L156" s="3" t="s">
        <v>69</v>
      </c>
      <c r="M156" s="3" t="s">
        <v>70</v>
      </c>
    </row>
    <row r="157" ht="15.75" customHeight="1">
      <c r="A157" s="2" t="s">
        <v>415</v>
      </c>
      <c r="B157" s="2" t="s">
        <v>416</v>
      </c>
      <c r="C157" s="2" t="s">
        <v>12</v>
      </c>
      <c r="D157" s="3" t="s">
        <v>13</v>
      </c>
      <c r="E157" s="3" t="s">
        <v>10</v>
      </c>
      <c r="F157" s="4">
        <v>2.0</v>
      </c>
      <c r="G157" s="4">
        <v>45000.0</v>
      </c>
      <c r="H157" s="5">
        <v>0.1</v>
      </c>
      <c r="I157" s="4">
        <f t="shared" si="1"/>
        <v>81000</v>
      </c>
      <c r="J157" s="3" t="s">
        <v>80</v>
      </c>
      <c r="K157" s="3" t="s">
        <v>104</v>
      </c>
      <c r="L157" s="3" t="s">
        <v>82</v>
      </c>
      <c r="M157" s="3" t="s">
        <v>61</v>
      </c>
    </row>
    <row r="158" ht="15.75" customHeight="1">
      <c r="A158" s="2" t="s">
        <v>417</v>
      </c>
      <c r="B158" s="2" t="s">
        <v>418</v>
      </c>
      <c r="C158" s="2" t="s">
        <v>30</v>
      </c>
      <c r="D158" s="3" t="s">
        <v>419</v>
      </c>
      <c r="E158" s="3" t="s">
        <v>32</v>
      </c>
      <c r="F158" s="4">
        <v>1.0</v>
      </c>
      <c r="G158" s="4">
        <v>179000.0</v>
      </c>
      <c r="H158" s="5">
        <v>0.0</v>
      </c>
      <c r="I158" s="4">
        <f t="shared" si="1"/>
        <v>179000</v>
      </c>
      <c r="J158" s="3" t="s">
        <v>130</v>
      </c>
      <c r="K158" s="3" t="s">
        <v>59</v>
      </c>
      <c r="L158" s="3" t="s">
        <v>74</v>
      </c>
      <c r="M158" s="3" t="s">
        <v>65</v>
      </c>
    </row>
    <row r="159" ht="15.75" customHeight="1">
      <c r="A159" s="2" t="s">
        <v>420</v>
      </c>
      <c r="B159" s="2" t="s">
        <v>418</v>
      </c>
      <c r="C159" s="2" t="s">
        <v>30</v>
      </c>
      <c r="D159" s="3" t="s">
        <v>421</v>
      </c>
      <c r="E159" s="3" t="s">
        <v>32</v>
      </c>
      <c r="F159" s="4">
        <v>1.0</v>
      </c>
      <c r="G159" s="4">
        <v>179000.0</v>
      </c>
      <c r="H159" s="5">
        <v>0.0</v>
      </c>
      <c r="I159" s="4">
        <f t="shared" si="1"/>
        <v>179000</v>
      </c>
      <c r="J159" s="3" t="s">
        <v>80</v>
      </c>
      <c r="K159" s="3" t="s">
        <v>101</v>
      </c>
      <c r="L159" s="3" t="s">
        <v>69</v>
      </c>
      <c r="M159" s="3" t="s">
        <v>56</v>
      </c>
    </row>
    <row r="160" ht="15.75" customHeight="1">
      <c r="A160" s="2" t="s">
        <v>422</v>
      </c>
      <c r="B160" s="2" t="s">
        <v>418</v>
      </c>
      <c r="C160" s="2" t="s">
        <v>27</v>
      </c>
      <c r="D160" s="3" t="s">
        <v>423</v>
      </c>
      <c r="E160" s="3" t="s">
        <v>21</v>
      </c>
      <c r="F160" s="4">
        <v>1.0</v>
      </c>
      <c r="G160" s="4">
        <v>159000.0</v>
      </c>
      <c r="H160" s="5">
        <v>0.05</v>
      </c>
      <c r="I160" s="4">
        <f t="shared" si="1"/>
        <v>151050</v>
      </c>
      <c r="J160" s="3" t="s">
        <v>113</v>
      </c>
      <c r="K160" s="3" t="s">
        <v>59</v>
      </c>
      <c r="L160" s="3" t="s">
        <v>74</v>
      </c>
      <c r="M160" s="3" t="s">
        <v>70</v>
      </c>
    </row>
    <row r="161" ht="15.75" customHeight="1">
      <c r="A161" s="2" t="s">
        <v>424</v>
      </c>
      <c r="B161" s="2" t="s">
        <v>425</v>
      </c>
      <c r="C161" s="2" t="s">
        <v>34</v>
      </c>
      <c r="D161" s="3" t="s">
        <v>35</v>
      </c>
      <c r="E161" s="3" t="s">
        <v>36</v>
      </c>
      <c r="F161" s="4">
        <v>5.0</v>
      </c>
      <c r="G161" s="4">
        <v>329000.0</v>
      </c>
      <c r="H161" s="5">
        <v>0.0</v>
      </c>
      <c r="I161" s="4">
        <f t="shared" si="1"/>
        <v>1645000</v>
      </c>
      <c r="J161" s="3" t="s">
        <v>95</v>
      </c>
      <c r="K161" s="3" t="s">
        <v>54</v>
      </c>
      <c r="L161" s="3" t="s">
        <v>82</v>
      </c>
      <c r="M161" s="3" t="s">
        <v>65</v>
      </c>
    </row>
    <row r="162" ht="15.75" customHeight="1">
      <c r="A162" s="2" t="s">
        <v>426</v>
      </c>
      <c r="B162" s="2" t="s">
        <v>425</v>
      </c>
      <c r="C162" s="2" t="s">
        <v>14</v>
      </c>
      <c r="D162" s="3" t="s">
        <v>15</v>
      </c>
      <c r="E162" s="3" t="s">
        <v>10</v>
      </c>
      <c r="F162" s="4">
        <v>1.0</v>
      </c>
      <c r="G162" s="4">
        <v>189000.0</v>
      </c>
      <c r="H162" s="5">
        <v>0.0</v>
      </c>
      <c r="I162" s="4">
        <f t="shared" si="1"/>
        <v>189000</v>
      </c>
      <c r="J162" s="3" t="s">
        <v>92</v>
      </c>
      <c r="K162" s="3" t="s">
        <v>87</v>
      </c>
      <c r="L162" s="2" t="s">
        <v>427</v>
      </c>
      <c r="M162" s="3" t="s">
        <v>56</v>
      </c>
    </row>
    <row r="163" ht="15.75" customHeight="1">
      <c r="A163" s="2" t="s">
        <v>428</v>
      </c>
      <c r="B163" s="2" t="s">
        <v>425</v>
      </c>
      <c r="C163" s="2" t="s">
        <v>14</v>
      </c>
      <c r="D163" s="3" t="s">
        <v>15</v>
      </c>
      <c r="E163" s="3" t="s">
        <v>10</v>
      </c>
      <c r="F163" s="4">
        <v>5.0</v>
      </c>
      <c r="G163" s="4">
        <v>189000.0</v>
      </c>
      <c r="H163" s="5">
        <v>0.0</v>
      </c>
      <c r="I163" s="4">
        <f t="shared" si="1"/>
        <v>945000</v>
      </c>
      <c r="J163" s="3" t="s">
        <v>63</v>
      </c>
      <c r="K163" s="3" t="s">
        <v>101</v>
      </c>
      <c r="L163" s="3" t="s">
        <v>82</v>
      </c>
      <c r="M163" s="3" t="s">
        <v>65</v>
      </c>
    </row>
    <row r="164" ht="15.75" customHeight="1">
      <c r="A164" s="2" t="s">
        <v>429</v>
      </c>
      <c r="B164" s="2" t="s">
        <v>430</v>
      </c>
      <c r="C164" s="2" t="s">
        <v>16</v>
      </c>
      <c r="D164" s="2" t="s">
        <v>431</v>
      </c>
      <c r="E164" s="3" t="s">
        <v>10</v>
      </c>
      <c r="F164" s="4">
        <v>1.0</v>
      </c>
      <c r="G164" s="4">
        <v>450000.0</v>
      </c>
      <c r="H164" s="5">
        <v>0.1</v>
      </c>
      <c r="I164" s="4">
        <f t="shared" si="1"/>
        <v>405000</v>
      </c>
      <c r="J164" s="3" t="s">
        <v>86</v>
      </c>
      <c r="K164" s="3" t="s">
        <v>59</v>
      </c>
      <c r="L164" s="3" t="s">
        <v>74</v>
      </c>
      <c r="M164" s="3" t="s">
        <v>65</v>
      </c>
    </row>
    <row r="165" ht="15.75" customHeight="1">
      <c r="A165" s="2" t="s">
        <v>432</v>
      </c>
      <c r="B165" s="2" t="s">
        <v>430</v>
      </c>
      <c r="C165" s="2" t="s">
        <v>38</v>
      </c>
      <c r="D165" s="3" t="s">
        <v>39</v>
      </c>
      <c r="E165" s="3" t="s">
        <v>25</v>
      </c>
      <c r="F165" s="4">
        <v>5.0</v>
      </c>
      <c r="G165" s="4">
        <v>129000.0</v>
      </c>
      <c r="H165" s="5">
        <v>0.0</v>
      </c>
      <c r="I165" s="4">
        <f t="shared" si="1"/>
        <v>645000</v>
      </c>
      <c r="J165" s="3" t="s">
        <v>117</v>
      </c>
      <c r="K165" s="3" t="s">
        <v>114</v>
      </c>
      <c r="L165" s="3" t="s">
        <v>69</v>
      </c>
      <c r="M165" s="3" t="s">
        <v>70</v>
      </c>
    </row>
    <row r="166" ht="15.75" customHeight="1">
      <c r="A166" s="2" t="s">
        <v>433</v>
      </c>
      <c r="B166" s="2" t="s">
        <v>430</v>
      </c>
      <c r="C166" s="2" t="s">
        <v>23</v>
      </c>
      <c r="D166" s="3" t="s">
        <v>24</v>
      </c>
      <c r="E166" s="3" t="s">
        <v>25</v>
      </c>
      <c r="F166" s="4">
        <v>1.0</v>
      </c>
      <c r="G166" s="4">
        <v>380000.0</v>
      </c>
      <c r="H166" s="5">
        <v>0.0</v>
      </c>
      <c r="I166" s="4">
        <f t="shared" si="1"/>
        <v>380000</v>
      </c>
      <c r="J166" s="3" t="s">
        <v>68</v>
      </c>
      <c r="K166" s="3" t="s">
        <v>81</v>
      </c>
      <c r="L166" s="3" t="s">
        <v>82</v>
      </c>
      <c r="M166" s="3" t="s">
        <v>65</v>
      </c>
    </row>
    <row r="167" ht="15.75" customHeight="1">
      <c r="A167" s="2" t="s">
        <v>434</v>
      </c>
      <c r="B167" s="2" t="s">
        <v>430</v>
      </c>
      <c r="C167" s="2" t="s">
        <v>14</v>
      </c>
      <c r="D167" s="3" t="s">
        <v>15</v>
      </c>
      <c r="E167" s="3" t="s">
        <v>10</v>
      </c>
      <c r="F167" s="4">
        <v>1.0</v>
      </c>
      <c r="G167" s="4">
        <v>189000.0</v>
      </c>
      <c r="H167" s="5">
        <v>0.1</v>
      </c>
      <c r="I167" s="4">
        <f t="shared" si="1"/>
        <v>170100</v>
      </c>
      <c r="J167" s="3" t="s">
        <v>80</v>
      </c>
      <c r="K167" s="3" t="s">
        <v>104</v>
      </c>
      <c r="L167" s="3" t="s">
        <v>69</v>
      </c>
      <c r="M167" s="3" t="s">
        <v>65</v>
      </c>
    </row>
    <row r="168" ht="15.75" customHeight="1">
      <c r="A168" s="2" t="s">
        <v>435</v>
      </c>
      <c r="B168" s="2" t="s">
        <v>436</v>
      </c>
      <c r="C168" s="2" t="s">
        <v>23</v>
      </c>
      <c r="D168" s="3" t="s">
        <v>24</v>
      </c>
      <c r="E168" s="3" t="s">
        <v>25</v>
      </c>
      <c r="F168" s="4">
        <v>1.0</v>
      </c>
      <c r="G168" s="4">
        <v>380000.0</v>
      </c>
      <c r="H168" s="5">
        <v>0.05</v>
      </c>
      <c r="I168" s="4">
        <f t="shared" si="1"/>
        <v>361000</v>
      </c>
      <c r="J168" s="3" t="s">
        <v>73</v>
      </c>
      <c r="K168" s="3" t="s">
        <v>81</v>
      </c>
      <c r="L168" s="2" t="s">
        <v>437</v>
      </c>
      <c r="M168" s="3" t="s">
        <v>65</v>
      </c>
    </row>
    <row r="169" ht="15.75" customHeight="1">
      <c r="A169" s="2" t="s">
        <v>438</v>
      </c>
      <c r="B169" s="2" t="s">
        <v>436</v>
      </c>
      <c r="C169" s="2" t="s">
        <v>12</v>
      </c>
      <c r="D169" s="3" t="s">
        <v>13</v>
      </c>
      <c r="E169" s="3" t="s">
        <v>10</v>
      </c>
      <c r="F169" s="4">
        <v>3.0</v>
      </c>
      <c r="G169" s="4">
        <v>45000.0</v>
      </c>
      <c r="H169" s="5">
        <v>0.0</v>
      </c>
      <c r="I169" s="4">
        <f t="shared" si="1"/>
        <v>135000</v>
      </c>
      <c r="J169" s="3" t="s">
        <v>73</v>
      </c>
      <c r="K169" s="3" t="s">
        <v>54</v>
      </c>
      <c r="L169" s="3" t="s">
        <v>74</v>
      </c>
      <c r="M169" s="3" t="s">
        <v>70</v>
      </c>
    </row>
    <row r="170" ht="15.75" customHeight="1">
      <c r="A170" s="2" t="s">
        <v>439</v>
      </c>
      <c r="B170" s="2" t="s">
        <v>436</v>
      </c>
      <c r="C170" s="2" t="s">
        <v>34</v>
      </c>
      <c r="D170" s="3" t="s">
        <v>35</v>
      </c>
      <c r="E170" s="3" t="s">
        <v>36</v>
      </c>
      <c r="F170" s="4">
        <v>1.0</v>
      </c>
      <c r="G170" s="4">
        <v>329000.0</v>
      </c>
      <c r="H170" s="5">
        <v>0.0</v>
      </c>
      <c r="I170" s="4">
        <f t="shared" si="1"/>
        <v>329000</v>
      </c>
      <c r="J170" s="3" t="s">
        <v>113</v>
      </c>
      <c r="K170" s="3" t="s">
        <v>77</v>
      </c>
      <c r="L170" s="3" t="s">
        <v>74</v>
      </c>
      <c r="M170" s="3" t="s">
        <v>56</v>
      </c>
    </row>
    <row r="171" ht="15.75" customHeight="1">
      <c r="A171" s="2" t="s">
        <v>440</v>
      </c>
      <c r="B171" s="2" t="s">
        <v>441</v>
      </c>
      <c r="C171" s="2" t="s">
        <v>12</v>
      </c>
      <c r="D171" s="3" t="s">
        <v>13</v>
      </c>
      <c r="E171" s="3" t="s">
        <v>10</v>
      </c>
      <c r="F171" s="4">
        <v>1.0</v>
      </c>
      <c r="G171" s="4">
        <v>45000.0</v>
      </c>
      <c r="H171" s="5">
        <v>0.0</v>
      </c>
      <c r="I171" s="4">
        <f t="shared" si="1"/>
        <v>45000</v>
      </c>
      <c r="J171" s="3" t="s">
        <v>73</v>
      </c>
      <c r="K171" s="3" t="s">
        <v>104</v>
      </c>
      <c r="L171" s="2" t="s">
        <v>442</v>
      </c>
      <c r="M171" s="3" t="s">
        <v>65</v>
      </c>
    </row>
    <row r="172" ht="15.75" customHeight="1">
      <c r="A172" s="2" t="s">
        <v>443</v>
      </c>
      <c r="B172" s="2" t="s">
        <v>444</v>
      </c>
      <c r="C172" s="2" t="s">
        <v>16</v>
      </c>
      <c r="D172" s="2" t="s">
        <v>445</v>
      </c>
      <c r="E172" s="3" t="s">
        <v>10</v>
      </c>
      <c r="F172" s="4">
        <v>2.0</v>
      </c>
      <c r="G172" s="4">
        <v>450000.0</v>
      </c>
      <c r="H172" s="5">
        <v>0.0</v>
      </c>
      <c r="I172" s="4">
        <f t="shared" si="1"/>
        <v>900000</v>
      </c>
      <c r="J172" s="3" t="s">
        <v>130</v>
      </c>
      <c r="K172" s="3" t="s">
        <v>59</v>
      </c>
      <c r="L172" s="3" t="s">
        <v>82</v>
      </c>
      <c r="M172" s="3" t="s">
        <v>65</v>
      </c>
    </row>
    <row r="173" ht="15.75" customHeight="1">
      <c r="A173" s="2" t="s">
        <v>446</v>
      </c>
      <c r="B173" s="2" t="s">
        <v>444</v>
      </c>
      <c r="C173" s="2" t="s">
        <v>19</v>
      </c>
      <c r="D173" s="2" t="s">
        <v>447</v>
      </c>
      <c r="E173" s="3" t="s">
        <v>21</v>
      </c>
      <c r="F173" s="4">
        <v>1.0</v>
      </c>
      <c r="G173" s="4">
        <v>89000.0</v>
      </c>
      <c r="H173" s="5">
        <v>0.05</v>
      </c>
      <c r="I173" s="4">
        <f t="shared" si="1"/>
        <v>84550</v>
      </c>
      <c r="J173" s="3" t="s">
        <v>120</v>
      </c>
      <c r="K173" s="3" t="s">
        <v>114</v>
      </c>
      <c r="L173" s="2" t="s">
        <v>448</v>
      </c>
      <c r="M173" s="3" t="s">
        <v>70</v>
      </c>
    </row>
    <row r="174" ht="15.75" customHeight="1">
      <c r="A174" s="2" t="s">
        <v>449</v>
      </c>
      <c r="B174" s="2" t="s">
        <v>444</v>
      </c>
      <c r="C174" s="2" t="s">
        <v>19</v>
      </c>
      <c r="D174" s="2" t="s">
        <v>450</v>
      </c>
      <c r="E174" s="3" t="s">
        <v>21</v>
      </c>
      <c r="F174" s="4">
        <v>2.0</v>
      </c>
      <c r="G174" s="4">
        <v>89000.0</v>
      </c>
      <c r="H174" s="5">
        <v>0.0</v>
      </c>
      <c r="I174" s="4">
        <f t="shared" si="1"/>
        <v>178000</v>
      </c>
      <c r="J174" s="3" t="s">
        <v>68</v>
      </c>
      <c r="K174" s="3" t="s">
        <v>54</v>
      </c>
      <c r="L174" s="3" t="s">
        <v>82</v>
      </c>
      <c r="M174" s="3" t="s">
        <v>65</v>
      </c>
    </row>
    <row r="175" ht="15.75" customHeight="1">
      <c r="A175" s="2" t="s">
        <v>451</v>
      </c>
      <c r="B175" s="2" t="s">
        <v>444</v>
      </c>
      <c r="C175" s="2" t="s">
        <v>16</v>
      </c>
      <c r="D175" s="2" t="s">
        <v>452</v>
      </c>
      <c r="E175" s="3" t="s">
        <v>10</v>
      </c>
      <c r="F175" s="4">
        <v>2.0</v>
      </c>
      <c r="G175" s="4">
        <v>450000.0</v>
      </c>
      <c r="H175" s="5">
        <v>0.0</v>
      </c>
      <c r="I175" s="4">
        <f t="shared" si="1"/>
        <v>900000</v>
      </c>
      <c r="J175" s="3" t="s">
        <v>95</v>
      </c>
      <c r="K175" s="3" t="s">
        <v>101</v>
      </c>
      <c r="L175" s="3" t="s">
        <v>74</v>
      </c>
      <c r="M175" s="3" t="s">
        <v>56</v>
      </c>
    </row>
    <row r="176" ht="15.75" customHeight="1">
      <c r="A176" s="2" t="s">
        <v>453</v>
      </c>
      <c r="B176" s="2" t="s">
        <v>444</v>
      </c>
      <c r="C176" s="2" t="s">
        <v>30</v>
      </c>
      <c r="D176" s="3" t="s">
        <v>454</v>
      </c>
      <c r="E176" s="3" t="s">
        <v>32</v>
      </c>
      <c r="F176" s="4">
        <v>3.0</v>
      </c>
      <c r="G176" s="4">
        <v>179000.0</v>
      </c>
      <c r="H176" s="5">
        <v>0.05</v>
      </c>
      <c r="I176" s="4">
        <f t="shared" si="1"/>
        <v>510150</v>
      </c>
      <c r="J176" s="3" t="s">
        <v>117</v>
      </c>
      <c r="K176" s="3" t="s">
        <v>77</v>
      </c>
      <c r="L176" s="2" t="s">
        <v>455</v>
      </c>
      <c r="M176" s="3" t="s">
        <v>56</v>
      </c>
    </row>
    <row r="177" ht="15.75" customHeight="1">
      <c r="A177" s="2" t="s">
        <v>456</v>
      </c>
      <c r="B177" s="2" t="s">
        <v>457</v>
      </c>
      <c r="C177" s="2" t="s">
        <v>8</v>
      </c>
      <c r="D177" s="3" t="s">
        <v>458</v>
      </c>
      <c r="E177" s="3" t="s">
        <v>10</v>
      </c>
      <c r="F177" s="4">
        <v>2.0</v>
      </c>
      <c r="G177" s="4">
        <v>1850000.0</v>
      </c>
      <c r="H177" s="5">
        <v>0.0</v>
      </c>
      <c r="I177" s="4">
        <f t="shared" si="1"/>
        <v>3700000</v>
      </c>
      <c r="J177" s="3" t="s">
        <v>68</v>
      </c>
      <c r="K177" s="3" t="s">
        <v>54</v>
      </c>
      <c r="L177" s="3" t="s">
        <v>74</v>
      </c>
      <c r="M177" s="3" t="s">
        <v>61</v>
      </c>
    </row>
    <row r="178" ht="15.75" customHeight="1">
      <c r="A178" s="2" t="s">
        <v>459</v>
      </c>
      <c r="B178" s="2" t="s">
        <v>457</v>
      </c>
      <c r="C178" s="2" t="s">
        <v>14</v>
      </c>
      <c r="D178" s="3" t="s">
        <v>15</v>
      </c>
      <c r="E178" s="3" t="s">
        <v>10</v>
      </c>
      <c r="F178" s="4">
        <v>1.0</v>
      </c>
      <c r="G178" s="4">
        <v>189000.0</v>
      </c>
      <c r="H178" s="5">
        <v>0.05</v>
      </c>
      <c r="I178" s="4">
        <f t="shared" si="1"/>
        <v>179550</v>
      </c>
      <c r="J178" s="3" t="s">
        <v>63</v>
      </c>
      <c r="K178" s="3" t="s">
        <v>114</v>
      </c>
      <c r="L178" s="3" t="s">
        <v>69</v>
      </c>
      <c r="M178" s="3" t="s">
        <v>61</v>
      </c>
    </row>
    <row r="179" ht="15.75" customHeight="1">
      <c r="A179" s="2" t="s">
        <v>460</v>
      </c>
      <c r="B179" s="2" t="s">
        <v>457</v>
      </c>
      <c r="C179" s="2" t="s">
        <v>23</v>
      </c>
      <c r="D179" s="3" t="s">
        <v>24</v>
      </c>
      <c r="E179" s="3" t="s">
        <v>25</v>
      </c>
      <c r="F179" s="4">
        <v>1.0</v>
      </c>
      <c r="G179" s="4">
        <v>380000.0</v>
      </c>
      <c r="H179" s="5">
        <v>0.0</v>
      </c>
      <c r="I179" s="4">
        <f t="shared" si="1"/>
        <v>380000</v>
      </c>
      <c r="J179" s="3" t="s">
        <v>80</v>
      </c>
      <c r="K179" s="3" t="s">
        <v>54</v>
      </c>
      <c r="L179" s="2" t="s">
        <v>461</v>
      </c>
      <c r="M179" s="3" t="s">
        <v>56</v>
      </c>
    </row>
    <row r="180" ht="15.75" customHeight="1">
      <c r="A180" s="2" t="s">
        <v>462</v>
      </c>
      <c r="B180" s="2" t="s">
        <v>463</v>
      </c>
      <c r="C180" s="2" t="s">
        <v>38</v>
      </c>
      <c r="D180" s="3" t="s">
        <v>39</v>
      </c>
      <c r="E180" s="3" t="s">
        <v>25</v>
      </c>
      <c r="F180" s="4">
        <v>10.0</v>
      </c>
      <c r="G180" s="4">
        <v>129000.0</v>
      </c>
      <c r="H180" s="5">
        <v>0.0</v>
      </c>
      <c r="I180" s="4">
        <f t="shared" si="1"/>
        <v>1290000</v>
      </c>
      <c r="J180" s="3" t="s">
        <v>92</v>
      </c>
      <c r="K180" s="3" t="s">
        <v>59</v>
      </c>
      <c r="L180" s="3" t="s">
        <v>82</v>
      </c>
      <c r="M180" s="3" t="s">
        <v>56</v>
      </c>
    </row>
    <row r="181" ht="15.75" customHeight="1">
      <c r="A181" s="2" t="s">
        <v>464</v>
      </c>
      <c r="B181" s="2" t="s">
        <v>463</v>
      </c>
      <c r="C181" s="2" t="s">
        <v>16</v>
      </c>
      <c r="D181" s="2" t="s">
        <v>465</v>
      </c>
      <c r="E181" s="3" t="s">
        <v>10</v>
      </c>
      <c r="F181" s="4">
        <v>1.0</v>
      </c>
      <c r="G181" s="4">
        <v>450000.0</v>
      </c>
      <c r="H181" s="5">
        <v>0.0</v>
      </c>
      <c r="I181" s="4">
        <f t="shared" si="1"/>
        <v>450000</v>
      </c>
      <c r="J181" s="3" t="s">
        <v>68</v>
      </c>
      <c r="K181" s="3" t="s">
        <v>104</v>
      </c>
      <c r="L181" s="3" t="s">
        <v>74</v>
      </c>
      <c r="M181" s="3" t="s">
        <v>56</v>
      </c>
    </row>
    <row r="182" ht="15.75" customHeight="1">
      <c r="A182" s="2" t="s">
        <v>466</v>
      </c>
      <c r="B182" s="2" t="s">
        <v>463</v>
      </c>
      <c r="C182" s="2" t="s">
        <v>23</v>
      </c>
      <c r="D182" s="3" t="s">
        <v>24</v>
      </c>
      <c r="E182" s="3" t="s">
        <v>25</v>
      </c>
      <c r="F182" s="4">
        <v>2.0</v>
      </c>
      <c r="G182" s="4">
        <v>380000.0</v>
      </c>
      <c r="H182" s="5">
        <v>0.0</v>
      </c>
      <c r="I182" s="4">
        <f t="shared" si="1"/>
        <v>760000</v>
      </c>
      <c r="J182" s="3" t="s">
        <v>165</v>
      </c>
      <c r="K182" s="3" t="s">
        <v>54</v>
      </c>
      <c r="L182" s="2" t="s">
        <v>467</v>
      </c>
      <c r="M182" s="3" t="s">
        <v>65</v>
      </c>
    </row>
    <row r="183" ht="15.75" customHeight="1">
      <c r="A183" s="2" t="s">
        <v>468</v>
      </c>
      <c r="B183" s="2" t="s">
        <v>469</v>
      </c>
      <c r="C183" s="2" t="s">
        <v>8</v>
      </c>
      <c r="D183" s="3" t="s">
        <v>470</v>
      </c>
      <c r="E183" s="3" t="s">
        <v>10</v>
      </c>
      <c r="F183" s="4">
        <v>5.0</v>
      </c>
      <c r="G183" s="4">
        <v>1850000.0</v>
      </c>
      <c r="H183" s="5">
        <v>0.1</v>
      </c>
      <c r="I183" s="4">
        <f t="shared" si="1"/>
        <v>8325000</v>
      </c>
      <c r="J183" s="3" t="s">
        <v>165</v>
      </c>
      <c r="K183" s="3" t="s">
        <v>59</v>
      </c>
      <c r="L183" s="3" t="s">
        <v>82</v>
      </c>
      <c r="M183" s="3" t="s">
        <v>61</v>
      </c>
    </row>
    <row r="184" ht="15.75" customHeight="1">
      <c r="A184" s="2" t="s">
        <v>471</v>
      </c>
      <c r="B184" s="2" t="s">
        <v>469</v>
      </c>
      <c r="C184" s="2" t="s">
        <v>8</v>
      </c>
      <c r="D184" s="3" t="s">
        <v>472</v>
      </c>
      <c r="E184" s="3" t="s">
        <v>10</v>
      </c>
      <c r="F184" s="4">
        <v>3.0</v>
      </c>
      <c r="G184" s="4">
        <v>1850000.0</v>
      </c>
      <c r="H184" s="5">
        <v>0.1</v>
      </c>
      <c r="I184" s="4">
        <f t="shared" si="1"/>
        <v>4995000</v>
      </c>
      <c r="J184" s="3" t="s">
        <v>120</v>
      </c>
      <c r="K184" s="3" t="s">
        <v>87</v>
      </c>
      <c r="L184" s="3" t="s">
        <v>82</v>
      </c>
      <c r="M184" s="3" t="s">
        <v>56</v>
      </c>
    </row>
    <row r="185" ht="15.75" customHeight="1">
      <c r="A185" s="2" t="s">
        <v>473</v>
      </c>
      <c r="B185" s="2" t="s">
        <v>469</v>
      </c>
      <c r="C185" s="2" t="s">
        <v>12</v>
      </c>
      <c r="D185" s="3" t="s">
        <v>13</v>
      </c>
      <c r="E185" s="3" t="s">
        <v>10</v>
      </c>
      <c r="F185" s="4">
        <v>1.0</v>
      </c>
      <c r="G185" s="4">
        <v>45000.0</v>
      </c>
      <c r="H185" s="5">
        <v>0.1</v>
      </c>
      <c r="I185" s="4">
        <f t="shared" si="1"/>
        <v>40500</v>
      </c>
      <c r="J185" s="3" t="s">
        <v>73</v>
      </c>
      <c r="K185" s="3" t="s">
        <v>81</v>
      </c>
      <c r="L185" s="3" t="s">
        <v>74</v>
      </c>
      <c r="M185" s="3" t="s">
        <v>65</v>
      </c>
    </row>
    <row r="186" ht="15.75" customHeight="1">
      <c r="A186" s="2" t="s">
        <v>474</v>
      </c>
      <c r="B186" s="2" t="s">
        <v>469</v>
      </c>
      <c r="C186" s="2" t="s">
        <v>30</v>
      </c>
      <c r="D186" s="3" t="s">
        <v>475</v>
      </c>
      <c r="E186" s="3" t="s">
        <v>32</v>
      </c>
      <c r="F186" s="4">
        <v>2.0</v>
      </c>
      <c r="G186" s="4">
        <v>179000.0</v>
      </c>
      <c r="H186" s="5">
        <v>0.1</v>
      </c>
      <c r="I186" s="4">
        <f t="shared" si="1"/>
        <v>322200</v>
      </c>
      <c r="J186" s="3" t="s">
        <v>73</v>
      </c>
      <c r="K186" s="3" t="s">
        <v>87</v>
      </c>
      <c r="L186" s="2" t="s">
        <v>476</v>
      </c>
      <c r="M186" s="3" t="s">
        <v>56</v>
      </c>
    </row>
    <row r="187" ht="15.75" customHeight="1">
      <c r="A187" s="2" t="s">
        <v>477</v>
      </c>
      <c r="B187" s="2" t="s">
        <v>478</v>
      </c>
      <c r="C187" s="2" t="s">
        <v>23</v>
      </c>
      <c r="D187" s="3" t="s">
        <v>24</v>
      </c>
      <c r="E187" s="3" t="s">
        <v>25</v>
      </c>
      <c r="F187" s="4">
        <v>1.0</v>
      </c>
      <c r="G187" s="4">
        <v>380000.0</v>
      </c>
      <c r="H187" s="5">
        <v>0.0</v>
      </c>
      <c r="I187" s="4">
        <f t="shared" si="1"/>
        <v>380000</v>
      </c>
      <c r="J187" s="3" t="s">
        <v>58</v>
      </c>
      <c r="K187" s="3" t="s">
        <v>87</v>
      </c>
      <c r="L187" s="3" t="s">
        <v>74</v>
      </c>
      <c r="M187" s="3" t="s">
        <v>65</v>
      </c>
    </row>
    <row r="188" ht="15.75" customHeight="1">
      <c r="A188" s="2" t="s">
        <v>479</v>
      </c>
      <c r="B188" s="2" t="s">
        <v>478</v>
      </c>
      <c r="C188" s="2" t="s">
        <v>14</v>
      </c>
      <c r="D188" s="3" t="s">
        <v>15</v>
      </c>
      <c r="E188" s="3" t="s">
        <v>10</v>
      </c>
      <c r="F188" s="4">
        <v>1.0</v>
      </c>
      <c r="G188" s="4">
        <v>189000.0</v>
      </c>
      <c r="H188" s="5">
        <v>0.1</v>
      </c>
      <c r="I188" s="4">
        <f t="shared" si="1"/>
        <v>170100</v>
      </c>
      <c r="J188" s="3" t="s">
        <v>58</v>
      </c>
      <c r="K188" s="3" t="s">
        <v>104</v>
      </c>
      <c r="L188" s="2" t="s">
        <v>480</v>
      </c>
      <c r="M188" s="3" t="s">
        <v>70</v>
      </c>
    </row>
    <row r="189" ht="15.75" customHeight="1">
      <c r="A189" s="2" t="s">
        <v>481</v>
      </c>
      <c r="B189" s="2" t="s">
        <v>478</v>
      </c>
      <c r="C189" s="2" t="s">
        <v>19</v>
      </c>
      <c r="D189" s="2" t="s">
        <v>482</v>
      </c>
      <c r="E189" s="3" t="s">
        <v>21</v>
      </c>
      <c r="F189" s="4">
        <v>1.0</v>
      </c>
      <c r="G189" s="4">
        <v>89000.0</v>
      </c>
      <c r="H189" s="5">
        <v>0.1</v>
      </c>
      <c r="I189" s="4">
        <f t="shared" si="1"/>
        <v>80100</v>
      </c>
      <c r="J189" s="3" t="s">
        <v>80</v>
      </c>
      <c r="K189" s="3" t="s">
        <v>87</v>
      </c>
      <c r="L189" s="3" t="s">
        <v>69</v>
      </c>
      <c r="M189" s="3" t="s">
        <v>70</v>
      </c>
    </row>
    <row r="190" ht="15.75" customHeight="1">
      <c r="A190" s="2" t="s">
        <v>483</v>
      </c>
      <c r="B190" s="2" t="s">
        <v>478</v>
      </c>
      <c r="C190" s="2" t="s">
        <v>19</v>
      </c>
      <c r="D190" s="2" t="s">
        <v>484</v>
      </c>
      <c r="E190" s="3" t="s">
        <v>21</v>
      </c>
      <c r="F190" s="4">
        <v>1.0</v>
      </c>
      <c r="G190" s="4">
        <v>89000.0</v>
      </c>
      <c r="H190" s="5">
        <v>0.15</v>
      </c>
      <c r="I190" s="4">
        <f t="shared" si="1"/>
        <v>75650</v>
      </c>
      <c r="J190" s="3" t="s">
        <v>95</v>
      </c>
      <c r="K190" s="3" t="s">
        <v>81</v>
      </c>
      <c r="L190" s="3" t="s">
        <v>69</v>
      </c>
      <c r="M190" s="3" t="s">
        <v>61</v>
      </c>
    </row>
    <row r="191" ht="15.75" customHeight="1">
      <c r="A191" s="2" t="s">
        <v>485</v>
      </c>
      <c r="B191" s="2" t="s">
        <v>478</v>
      </c>
      <c r="C191" s="2" t="s">
        <v>12</v>
      </c>
      <c r="D191" s="3" t="s">
        <v>13</v>
      </c>
      <c r="E191" s="3" t="s">
        <v>10</v>
      </c>
      <c r="F191" s="4">
        <v>3.0</v>
      </c>
      <c r="G191" s="4">
        <v>45000.0</v>
      </c>
      <c r="H191" s="5">
        <v>0.05</v>
      </c>
      <c r="I191" s="4">
        <f t="shared" si="1"/>
        <v>128250</v>
      </c>
      <c r="J191" s="3" t="s">
        <v>92</v>
      </c>
      <c r="K191" s="3" t="s">
        <v>104</v>
      </c>
      <c r="L191" s="3" t="s">
        <v>74</v>
      </c>
      <c r="M191" s="3" t="s">
        <v>70</v>
      </c>
    </row>
    <row r="192" ht="15.75" customHeight="1">
      <c r="A192" s="2" t="s">
        <v>486</v>
      </c>
      <c r="B192" s="2" t="s">
        <v>487</v>
      </c>
      <c r="C192" s="2" t="s">
        <v>23</v>
      </c>
      <c r="D192" s="3" t="s">
        <v>24</v>
      </c>
      <c r="E192" s="3" t="s">
        <v>25</v>
      </c>
      <c r="F192" s="4">
        <v>1.0</v>
      </c>
      <c r="G192" s="4">
        <v>380000.0</v>
      </c>
      <c r="H192" s="5">
        <v>0.0</v>
      </c>
      <c r="I192" s="4">
        <f t="shared" si="1"/>
        <v>380000</v>
      </c>
      <c r="J192" s="3" t="s">
        <v>113</v>
      </c>
      <c r="K192" s="3" t="s">
        <v>59</v>
      </c>
      <c r="L192" s="3" t="s">
        <v>82</v>
      </c>
      <c r="M192" s="3" t="s">
        <v>65</v>
      </c>
    </row>
    <row r="193" ht="15.75" customHeight="1">
      <c r="A193" s="2" t="s">
        <v>488</v>
      </c>
      <c r="B193" s="2" t="s">
        <v>487</v>
      </c>
      <c r="C193" s="2" t="s">
        <v>27</v>
      </c>
      <c r="D193" s="3" t="s">
        <v>489</v>
      </c>
      <c r="E193" s="3" t="s">
        <v>21</v>
      </c>
      <c r="F193" s="4">
        <v>1.0</v>
      </c>
      <c r="G193" s="4">
        <v>159000.0</v>
      </c>
      <c r="H193" s="5">
        <v>0.05</v>
      </c>
      <c r="I193" s="4">
        <f t="shared" si="1"/>
        <v>151050</v>
      </c>
      <c r="J193" s="3" t="s">
        <v>80</v>
      </c>
      <c r="K193" s="3" t="s">
        <v>101</v>
      </c>
      <c r="L193" s="3" t="s">
        <v>74</v>
      </c>
      <c r="M193" s="3" t="s">
        <v>70</v>
      </c>
    </row>
    <row r="194" ht="15.75" customHeight="1">
      <c r="A194" s="2" t="s">
        <v>490</v>
      </c>
      <c r="B194" s="2" t="s">
        <v>491</v>
      </c>
      <c r="C194" s="2" t="s">
        <v>19</v>
      </c>
      <c r="D194" s="2" t="s">
        <v>492</v>
      </c>
      <c r="E194" s="3" t="s">
        <v>21</v>
      </c>
      <c r="F194" s="4">
        <v>2.0</v>
      </c>
      <c r="G194" s="4">
        <v>89000.0</v>
      </c>
      <c r="H194" s="5">
        <v>0.1</v>
      </c>
      <c r="I194" s="4">
        <f t="shared" si="1"/>
        <v>160200</v>
      </c>
      <c r="J194" s="3" t="s">
        <v>92</v>
      </c>
      <c r="K194" s="3" t="s">
        <v>54</v>
      </c>
      <c r="L194" s="3" t="s">
        <v>82</v>
      </c>
      <c r="M194" s="3" t="s">
        <v>61</v>
      </c>
    </row>
    <row r="195" ht="15.75" customHeight="1">
      <c r="A195" s="2" t="s">
        <v>493</v>
      </c>
      <c r="B195" s="2" t="s">
        <v>494</v>
      </c>
      <c r="C195" s="2" t="s">
        <v>38</v>
      </c>
      <c r="D195" s="3" t="s">
        <v>39</v>
      </c>
      <c r="E195" s="3" t="s">
        <v>25</v>
      </c>
      <c r="F195" s="4">
        <v>1.0</v>
      </c>
      <c r="G195" s="4">
        <v>129000.0</v>
      </c>
      <c r="H195" s="5">
        <v>0.0</v>
      </c>
      <c r="I195" s="4">
        <f t="shared" si="1"/>
        <v>129000</v>
      </c>
      <c r="J195" s="3" t="s">
        <v>117</v>
      </c>
      <c r="K195" s="3" t="s">
        <v>114</v>
      </c>
      <c r="L195" s="3" t="s">
        <v>74</v>
      </c>
      <c r="M195" s="3" t="s">
        <v>65</v>
      </c>
    </row>
    <row r="196" ht="15.75" customHeight="1">
      <c r="A196" s="2" t="s">
        <v>495</v>
      </c>
      <c r="B196" s="2" t="s">
        <v>494</v>
      </c>
      <c r="C196" s="2" t="s">
        <v>19</v>
      </c>
      <c r="D196" s="2" t="s">
        <v>496</v>
      </c>
      <c r="E196" s="3" t="s">
        <v>21</v>
      </c>
      <c r="F196" s="4">
        <v>3.0</v>
      </c>
      <c r="G196" s="4">
        <v>89000.0</v>
      </c>
      <c r="H196" s="5">
        <v>0.0</v>
      </c>
      <c r="I196" s="4">
        <f t="shared" si="1"/>
        <v>267000</v>
      </c>
      <c r="J196" s="3" t="s">
        <v>73</v>
      </c>
      <c r="K196" s="3" t="s">
        <v>101</v>
      </c>
      <c r="L196" s="3" t="s">
        <v>82</v>
      </c>
      <c r="M196" s="3" t="s">
        <v>61</v>
      </c>
    </row>
    <row r="197" ht="15.75" customHeight="1">
      <c r="A197" s="2" t="s">
        <v>497</v>
      </c>
      <c r="B197" s="2" t="s">
        <v>494</v>
      </c>
      <c r="C197" s="2" t="s">
        <v>12</v>
      </c>
      <c r="D197" s="3" t="s">
        <v>13</v>
      </c>
      <c r="E197" s="3" t="s">
        <v>10</v>
      </c>
      <c r="F197" s="4">
        <v>1.0</v>
      </c>
      <c r="G197" s="4">
        <v>45000.0</v>
      </c>
      <c r="H197" s="5">
        <v>0.0</v>
      </c>
      <c r="I197" s="4">
        <f t="shared" si="1"/>
        <v>45000</v>
      </c>
      <c r="J197" s="3" t="s">
        <v>165</v>
      </c>
      <c r="K197" s="3" t="s">
        <v>101</v>
      </c>
      <c r="L197" s="3" t="s">
        <v>82</v>
      </c>
      <c r="M197" s="3" t="s">
        <v>56</v>
      </c>
    </row>
    <row r="198" ht="15.75" customHeight="1">
      <c r="A198" s="2" t="s">
        <v>498</v>
      </c>
      <c r="B198" s="2" t="s">
        <v>494</v>
      </c>
      <c r="C198" s="2" t="s">
        <v>12</v>
      </c>
      <c r="D198" s="3" t="s">
        <v>13</v>
      </c>
      <c r="E198" s="3" t="s">
        <v>10</v>
      </c>
      <c r="F198" s="4">
        <v>3.0</v>
      </c>
      <c r="G198" s="4">
        <v>45000.0</v>
      </c>
      <c r="H198" s="5">
        <v>0.0</v>
      </c>
      <c r="I198" s="4">
        <f t="shared" si="1"/>
        <v>135000</v>
      </c>
      <c r="J198" s="3" t="s">
        <v>95</v>
      </c>
      <c r="K198" s="3" t="s">
        <v>77</v>
      </c>
      <c r="L198" s="3" t="s">
        <v>69</v>
      </c>
      <c r="M198" s="3" t="s">
        <v>70</v>
      </c>
    </row>
    <row r="199" ht="15.75" customHeight="1">
      <c r="A199" s="2" t="s">
        <v>499</v>
      </c>
      <c r="B199" s="2" t="s">
        <v>494</v>
      </c>
      <c r="C199" s="2" t="s">
        <v>19</v>
      </c>
      <c r="D199" s="2" t="s">
        <v>500</v>
      </c>
      <c r="E199" s="3" t="s">
        <v>21</v>
      </c>
      <c r="F199" s="4">
        <v>3.0</v>
      </c>
      <c r="G199" s="4">
        <v>89000.0</v>
      </c>
      <c r="H199" s="5">
        <v>0.05</v>
      </c>
      <c r="I199" s="4">
        <f t="shared" si="1"/>
        <v>253650</v>
      </c>
      <c r="J199" s="3" t="s">
        <v>63</v>
      </c>
      <c r="K199" s="3" t="s">
        <v>59</v>
      </c>
      <c r="L199" s="3" t="s">
        <v>69</v>
      </c>
      <c r="M199" s="3" t="s">
        <v>65</v>
      </c>
    </row>
    <row r="200" ht="15.75" customHeight="1">
      <c r="A200" s="2" t="s">
        <v>501</v>
      </c>
      <c r="B200" s="2" t="s">
        <v>494</v>
      </c>
      <c r="C200" s="2" t="s">
        <v>30</v>
      </c>
      <c r="D200" s="3" t="s">
        <v>502</v>
      </c>
      <c r="E200" s="3" t="s">
        <v>32</v>
      </c>
      <c r="F200" s="4">
        <v>2.0</v>
      </c>
      <c r="G200" s="4">
        <v>179000.0</v>
      </c>
      <c r="H200" s="5">
        <v>0.0</v>
      </c>
      <c r="I200" s="4">
        <f t="shared" si="1"/>
        <v>358000</v>
      </c>
      <c r="J200" s="3" t="s">
        <v>152</v>
      </c>
      <c r="K200" s="3" t="s">
        <v>54</v>
      </c>
      <c r="L200" s="2" t="s">
        <v>503</v>
      </c>
      <c r="M200" s="3" t="s">
        <v>56</v>
      </c>
    </row>
    <row r="201" ht="15.75" customHeight="1">
      <c r="A201" s="2" t="s">
        <v>504</v>
      </c>
      <c r="B201" s="2" t="s">
        <v>505</v>
      </c>
      <c r="C201" s="2" t="s">
        <v>19</v>
      </c>
      <c r="D201" s="2" t="s">
        <v>506</v>
      </c>
      <c r="E201" s="3" t="s">
        <v>21</v>
      </c>
      <c r="F201" s="4">
        <v>2.0</v>
      </c>
      <c r="G201" s="4">
        <v>89000.0</v>
      </c>
      <c r="H201" s="5">
        <v>0.0</v>
      </c>
      <c r="I201" s="4">
        <f t="shared" si="1"/>
        <v>178000</v>
      </c>
      <c r="J201" s="3" t="s">
        <v>80</v>
      </c>
      <c r="K201" s="3" t="s">
        <v>87</v>
      </c>
      <c r="L201" s="3" t="s">
        <v>69</v>
      </c>
      <c r="M201" s="3" t="s">
        <v>65</v>
      </c>
    </row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12.0"/>
    <col customWidth="1" min="3" max="3" width="10.0"/>
    <col customWidth="1" min="4" max="4" width="22.0"/>
    <col customWidth="1" min="5" max="5" width="14.0"/>
    <col customWidth="1" min="6" max="6" width="10.0"/>
    <col customWidth="1" min="7" max="7" width="12.0"/>
    <col customWidth="1" min="8" max="8" width="14.0"/>
    <col customWidth="1" min="9" max="9" width="16.0"/>
    <col customWidth="1" min="10" max="10" width="10.0"/>
    <col customWidth="1" min="11" max="11" width="12.0"/>
    <col customWidth="1" min="12" max="26" width="8.71"/>
  </cols>
  <sheetData>
    <row r="1" ht="24.0" customHeight="1">
      <c r="A1" s="1" t="s">
        <v>507</v>
      </c>
      <c r="B1" s="1" t="s">
        <v>508</v>
      </c>
      <c r="C1" s="1" t="s">
        <v>0</v>
      </c>
      <c r="D1" s="1" t="s">
        <v>1</v>
      </c>
      <c r="E1" s="1" t="s">
        <v>5</v>
      </c>
      <c r="F1" s="1" t="s">
        <v>509</v>
      </c>
      <c r="G1" s="1" t="s">
        <v>510</v>
      </c>
      <c r="H1" s="1" t="s">
        <v>511</v>
      </c>
      <c r="I1" s="1" t="s">
        <v>512</v>
      </c>
      <c r="J1" s="1" t="s">
        <v>513</v>
      </c>
      <c r="K1" s="1" t="s">
        <v>514</v>
      </c>
    </row>
    <row r="2">
      <c r="A2" s="2" t="s">
        <v>515</v>
      </c>
      <c r="B2" s="2" t="s">
        <v>72</v>
      </c>
      <c r="C2" s="2" t="s">
        <v>23</v>
      </c>
      <c r="D2" s="3" t="s">
        <v>24</v>
      </c>
      <c r="E2" s="2" t="s">
        <v>26</v>
      </c>
      <c r="F2" s="4">
        <v>50.0</v>
      </c>
      <c r="G2" s="4">
        <v>260000.0</v>
      </c>
      <c r="H2" s="4">
        <f t="shared" ref="H2:H61" si="1">F2*G2</f>
        <v>13000000</v>
      </c>
      <c r="I2" s="3" t="s">
        <v>516</v>
      </c>
      <c r="J2" s="3" t="s">
        <v>65</v>
      </c>
      <c r="K2" s="3" t="s">
        <v>517</v>
      </c>
    </row>
    <row r="3">
      <c r="A3" s="2" t="s">
        <v>518</v>
      </c>
      <c r="B3" s="2" t="s">
        <v>99</v>
      </c>
      <c r="C3" s="2" t="s">
        <v>8</v>
      </c>
      <c r="D3" s="3" t="s">
        <v>519</v>
      </c>
      <c r="E3" s="2" t="s">
        <v>11</v>
      </c>
      <c r="F3" s="4">
        <v>20.0</v>
      </c>
      <c r="G3" s="4">
        <v>1450000.0</v>
      </c>
      <c r="H3" s="4">
        <f t="shared" si="1"/>
        <v>29000000</v>
      </c>
      <c r="I3" s="3" t="s">
        <v>520</v>
      </c>
      <c r="J3" s="3" t="s">
        <v>521</v>
      </c>
      <c r="K3" s="3" t="s">
        <v>517</v>
      </c>
    </row>
    <row r="4">
      <c r="A4" s="2" t="s">
        <v>522</v>
      </c>
      <c r="B4" s="2" t="s">
        <v>107</v>
      </c>
      <c r="C4" s="2" t="s">
        <v>8</v>
      </c>
      <c r="D4" s="3" t="s">
        <v>523</v>
      </c>
      <c r="E4" s="2" t="s">
        <v>11</v>
      </c>
      <c r="F4" s="4">
        <v>50.0</v>
      </c>
      <c r="G4" s="4">
        <v>1450000.0</v>
      </c>
      <c r="H4" s="4">
        <f t="shared" si="1"/>
        <v>72500000</v>
      </c>
      <c r="I4" s="3" t="s">
        <v>524</v>
      </c>
      <c r="J4" s="3" t="s">
        <v>521</v>
      </c>
      <c r="K4" s="3" t="s">
        <v>525</v>
      </c>
    </row>
    <row r="5">
      <c r="A5" s="2" t="s">
        <v>526</v>
      </c>
      <c r="B5" s="2" t="s">
        <v>107</v>
      </c>
      <c r="C5" s="2" t="s">
        <v>38</v>
      </c>
      <c r="D5" s="3" t="s">
        <v>39</v>
      </c>
      <c r="E5" s="2" t="s">
        <v>26</v>
      </c>
      <c r="F5" s="4">
        <v>80.0</v>
      </c>
      <c r="G5" s="4">
        <v>78000.0</v>
      </c>
      <c r="H5" s="4">
        <f t="shared" si="1"/>
        <v>6240000</v>
      </c>
      <c r="I5" s="3" t="s">
        <v>520</v>
      </c>
      <c r="J5" s="3" t="s">
        <v>521</v>
      </c>
      <c r="K5" s="3" t="s">
        <v>517</v>
      </c>
    </row>
    <row r="6">
      <c r="A6" s="2" t="s">
        <v>527</v>
      </c>
      <c r="B6" s="2" t="s">
        <v>129</v>
      </c>
      <c r="C6" s="2" t="s">
        <v>30</v>
      </c>
      <c r="D6" s="3" t="s">
        <v>528</v>
      </c>
      <c r="E6" s="2" t="s">
        <v>33</v>
      </c>
      <c r="F6" s="4">
        <v>30.0</v>
      </c>
      <c r="G6" s="4">
        <v>115000.0</v>
      </c>
      <c r="H6" s="4">
        <f t="shared" si="1"/>
        <v>3450000</v>
      </c>
      <c r="I6" s="3" t="s">
        <v>516</v>
      </c>
      <c r="J6" s="3" t="s">
        <v>529</v>
      </c>
      <c r="K6" s="3" t="s">
        <v>517</v>
      </c>
    </row>
    <row r="7">
      <c r="A7" s="2" t="s">
        <v>530</v>
      </c>
      <c r="B7" s="2" t="s">
        <v>132</v>
      </c>
      <c r="C7" s="2" t="s">
        <v>23</v>
      </c>
      <c r="D7" s="3" t="s">
        <v>24</v>
      </c>
      <c r="E7" s="2" t="s">
        <v>26</v>
      </c>
      <c r="F7" s="4">
        <v>80.0</v>
      </c>
      <c r="G7" s="4">
        <v>260000.0</v>
      </c>
      <c r="H7" s="4">
        <f t="shared" si="1"/>
        <v>20800000</v>
      </c>
      <c r="I7" s="3" t="s">
        <v>516</v>
      </c>
      <c r="J7" s="3" t="s">
        <v>529</v>
      </c>
      <c r="K7" s="3" t="s">
        <v>517</v>
      </c>
    </row>
    <row r="8">
      <c r="A8" s="2" t="s">
        <v>531</v>
      </c>
      <c r="B8" s="2" t="s">
        <v>140</v>
      </c>
      <c r="C8" s="2" t="s">
        <v>12</v>
      </c>
      <c r="D8" s="3" t="s">
        <v>13</v>
      </c>
      <c r="E8" s="2" t="s">
        <v>11</v>
      </c>
      <c r="F8" s="4">
        <v>50.0</v>
      </c>
      <c r="G8" s="4">
        <v>25000.0</v>
      </c>
      <c r="H8" s="4">
        <f t="shared" si="1"/>
        <v>1250000</v>
      </c>
      <c r="I8" s="3" t="s">
        <v>524</v>
      </c>
      <c r="J8" s="3" t="s">
        <v>521</v>
      </c>
      <c r="K8" s="3" t="s">
        <v>517</v>
      </c>
    </row>
    <row r="9">
      <c r="A9" s="2" t="s">
        <v>532</v>
      </c>
      <c r="B9" s="2" t="s">
        <v>140</v>
      </c>
      <c r="C9" s="2" t="s">
        <v>34</v>
      </c>
      <c r="D9" s="3" t="s">
        <v>35</v>
      </c>
      <c r="E9" s="2" t="s">
        <v>37</v>
      </c>
      <c r="F9" s="4">
        <v>150.0</v>
      </c>
      <c r="G9" s="4">
        <v>220000.0</v>
      </c>
      <c r="H9" s="4">
        <f t="shared" si="1"/>
        <v>33000000</v>
      </c>
      <c r="I9" s="3" t="s">
        <v>520</v>
      </c>
      <c r="J9" s="3" t="s">
        <v>521</v>
      </c>
      <c r="K9" s="3" t="s">
        <v>525</v>
      </c>
    </row>
    <row r="10">
      <c r="A10" s="2" t="s">
        <v>533</v>
      </c>
      <c r="B10" s="2" t="s">
        <v>161</v>
      </c>
      <c r="C10" s="2" t="s">
        <v>34</v>
      </c>
      <c r="D10" s="3" t="s">
        <v>35</v>
      </c>
      <c r="E10" s="2" t="s">
        <v>37</v>
      </c>
      <c r="F10" s="4">
        <v>150.0</v>
      </c>
      <c r="G10" s="4">
        <v>220000.0</v>
      </c>
      <c r="H10" s="4">
        <f t="shared" si="1"/>
        <v>33000000</v>
      </c>
      <c r="I10" s="3" t="s">
        <v>516</v>
      </c>
      <c r="J10" s="3" t="s">
        <v>65</v>
      </c>
      <c r="K10" s="3" t="s">
        <v>517</v>
      </c>
    </row>
    <row r="11">
      <c r="A11" s="2" t="s">
        <v>534</v>
      </c>
      <c r="B11" s="2" t="s">
        <v>161</v>
      </c>
      <c r="C11" s="2" t="s">
        <v>27</v>
      </c>
      <c r="D11" s="3" t="s">
        <v>535</v>
      </c>
      <c r="E11" s="2" t="s">
        <v>29</v>
      </c>
      <c r="F11" s="4">
        <v>100.0</v>
      </c>
      <c r="G11" s="4">
        <v>95000.0</v>
      </c>
      <c r="H11" s="4">
        <f t="shared" si="1"/>
        <v>9500000</v>
      </c>
      <c r="I11" s="3" t="s">
        <v>520</v>
      </c>
      <c r="J11" s="3" t="s">
        <v>65</v>
      </c>
      <c r="K11" s="3" t="s">
        <v>517</v>
      </c>
    </row>
    <row r="12">
      <c r="A12" s="2" t="s">
        <v>536</v>
      </c>
      <c r="B12" s="2" t="s">
        <v>161</v>
      </c>
      <c r="C12" s="2" t="s">
        <v>12</v>
      </c>
      <c r="D12" s="3" t="s">
        <v>13</v>
      </c>
      <c r="E12" s="2" t="s">
        <v>11</v>
      </c>
      <c r="F12" s="4">
        <v>80.0</v>
      </c>
      <c r="G12" s="4">
        <v>25000.0</v>
      </c>
      <c r="H12" s="4">
        <f t="shared" si="1"/>
        <v>2000000</v>
      </c>
      <c r="I12" s="3" t="s">
        <v>524</v>
      </c>
      <c r="J12" s="3" t="s">
        <v>529</v>
      </c>
      <c r="K12" s="3" t="s">
        <v>517</v>
      </c>
    </row>
    <row r="13">
      <c r="A13" s="2" t="s">
        <v>537</v>
      </c>
      <c r="B13" s="2" t="s">
        <v>167</v>
      </c>
      <c r="C13" s="2" t="s">
        <v>23</v>
      </c>
      <c r="D13" s="3" t="s">
        <v>24</v>
      </c>
      <c r="E13" s="2" t="s">
        <v>26</v>
      </c>
      <c r="F13" s="4">
        <v>100.0</v>
      </c>
      <c r="G13" s="4">
        <v>260000.0</v>
      </c>
      <c r="H13" s="4">
        <f t="shared" si="1"/>
        <v>26000000</v>
      </c>
      <c r="I13" s="3" t="s">
        <v>524</v>
      </c>
      <c r="J13" s="3" t="s">
        <v>65</v>
      </c>
      <c r="K13" s="3" t="s">
        <v>517</v>
      </c>
    </row>
    <row r="14">
      <c r="A14" s="2" t="s">
        <v>538</v>
      </c>
      <c r="B14" s="2" t="s">
        <v>167</v>
      </c>
      <c r="C14" s="2" t="s">
        <v>34</v>
      </c>
      <c r="D14" s="3" t="s">
        <v>35</v>
      </c>
      <c r="E14" s="2" t="s">
        <v>37</v>
      </c>
      <c r="F14" s="4">
        <v>30.0</v>
      </c>
      <c r="G14" s="4">
        <v>220000.0</v>
      </c>
      <c r="H14" s="4">
        <f t="shared" si="1"/>
        <v>6600000</v>
      </c>
      <c r="I14" s="3" t="s">
        <v>516</v>
      </c>
      <c r="J14" s="3" t="s">
        <v>529</v>
      </c>
      <c r="K14" s="3" t="s">
        <v>517</v>
      </c>
    </row>
    <row r="15">
      <c r="A15" s="2" t="s">
        <v>539</v>
      </c>
      <c r="B15" s="2" t="s">
        <v>172</v>
      </c>
      <c r="C15" s="2" t="s">
        <v>12</v>
      </c>
      <c r="D15" s="3" t="s">
        <v>13</v>
      </c>
      <c r="E15" s="2" t="s">
        <v>11</v>
      </c>
      <c r="F15" s="4">
        <v>20.0</v>
      </c>
      <c r="G15" s="4">
        <v>25000.0</v>
      </c>
      <c r="H15" s="4">
        <f t="shared" si="1"/>
        <v>500000</v>
      </c>
      <c r="I15" s="3" t="s">
        <v>524</v>
      </c>
      <c r="J15" s="3" t="s">
        <v>529</v>
      </c>
      <c r="K15" s="3" t="s">
        <v>525</v>
      </c>
    </row>
    <row r="16">
      <c r="A16" s="2" t="s">
        <v>540</v>
      </c>
      <c r="B16" s="2" t="s">
        <v>175</v>
      </c>
      <c r="C16" s="2" t="s">
        <v>14</v>
      </c>
      <c r="D16" s="3" t="s">
        <v>15</v>
      </c>
      <c r="E16" s="2" t="s">
        <v>11</v>
      </c>
      <c r="F16" s="4">
        <v>150.0</v>
      </c>
      <c r="G16" s="4">
        <v>120000.0</v>
      </c>
      <c r="H16" s="4">
        <f t="shared" si="1"/>
        <v>18000000</v>
      </c>
      <c r="I16" s="3" t="s">
        <v>516</v>
      </c>
      <c r="J16" s="3" t="s">
        <v>521</v>
      </c>
      <c r="K16" s="3" t="s">
        <v>525</v>
      </c>
    </row>
    <row r="17">
      <c r="A17" s="2" t="s">
        <v>541</v>
      </c>
      <c r="B17" s="2" t="s">
        <v>175</v>
      </c>
      <c r="C17" s="2" t="s">
        <v>27</v>
      </c>
      <c r="D17" s="3" t="s">
        <v>542</v>
      </c>
      <c r="E17" s="2" t="s">
        <v>29</v>
      </c>
      <c r="F17" s="4">
        <v>150.0</v>
      </c>
      <c r="G17" s="4">
        <v>95000.0</v>
      </c>
      <c r="H17" s="4">
        <f t="shared" si="1"/>
        <v>14250000</v>
      </c>
      <c r="I17" s="3" t="s">
        <v>520</v>
      </c>
      <c r="J17" s="3" t="s">
        <v>529</v>
      </c>
      <c r="K17" s="3" t="s">
        <v>517</v>
      </c>
    </row>
    <row r="18">
      <c r="A18" s="2" t="s">
        <v>543</v>
      </c>
      <c r="B18" s="2" t="s">
        <v>178</v>
      </c>
      <c r="C18" s="2" t="s">
        <v>30</v>
      </c>
      <c r="D18" s="3" t="s">
        <v>544</v>
      </c>
      <c r="E18" s="2" t="s">
        <v>33</v>
      </c>
      <c r="F18" s="4">
        <v>80.0</v>
      </c>
      <c r="G18" s="4">
        <v>115000.0</v>
      </c>
      <c r="H18" s="4">
        <f t="shared" si="1"/>
        <v>9200000</v>
      </c>
      <c r="I18" s="3" t="s">
        <v>524</v>
      </c>
      <c r="J18" s="3" t="s">
        <v>529</v>
      </c>
      <c r="K18" s="3" t="s">
        <v>517</v>
      </c>
    </row>
    <row r="19">
      <c r="A19" s="2" t="s">
        <v>545</v>
      </c>
      <c r="B19" s="2" t="s">
        <v>195</v>
      </c>
      <c r="C19" s="2" t="s">
        <v>14</v>
      </c>
      <c r="D19" s="3" t="s">
        <v>15</v>
      </c>
      <c r="E19" s="2" t="s">
        <v>11</v>
      </c>
      <c r="F19" s="4">
        <v>30.0</v>
      </c>
      <c r="G19" s="4">
        <v>120000.0</v>
      </c>
      <c r="H19" s="4">
        <f t="shared" si="1"/>
        <v>3600000</v>
      </c>
      <c r="I19" s="3" t="s">
        <v>524</v>
      </c>
      <c r="J19" s="3" t="s">
        <v>65</v>
      </c>
      <c r="K19" s="3" t="s">
        <v>517</v>
      </c>
    </row>
    <row r="20">
      <c r="A20" s="2" t="s">
        <v>546</v>
      </c>
      <c r="B20" s="2" t="s">
        <v>547</v>
      </c>
      <c r="C20" s="2" t="s">
        <v>30</v>
      </c>
      <c r="D20" s="3" t="s">
        <v>548</v>
      </c>
      <c r="E20" s="2" t="s">
        <v>33</v>
      </c>
      <c r="F20" s="4">
        <v>50.0</v>
      </c>
      <c r="G20" s="4">
        <v>115000.0</v>
      </c>
      <c r="H20" s="4">
        <f t="shared" si="1"/>
        <v>5750000</v>
      </c>
      <c r="I20" s="3" t="s">
        <v>524</v>
      </c>
      <c r="J20" s="3" t="s">
        <v>529</v>
      </c>
      <c r="K20" s="3" t="s">
        <v>517</v>
      </c>
    </row>
    <row r="21" ht="15.75" customHeight="1">
      <c r="A21" s="2" t="s">
        <v>549</v>
      </c>
      <c r="B21" s="2" t="s">
        <v>228</v>
      </c>
      <c r="C21" s="2" t="s">
        <v>34</v>
      </c>
      <c r="D21" s="3" t="s">
        <v>35</v>
      </c>
      <c r="E21" s="2" t="s">
        <v>37</v>
      </c>
      <c r="F21" s="4">
        <v>50.0</v>
      </c>
      <c r="G21" s="4">
        <v>220000.0</v>
      </c>
      <c r="H21" s="4">
        <f t="shared" si="1"/>
        <v>11000000</v>
      </c>
      <c r="I21" s="3" t="s">
        <v>520</v>
      </c>
      <c r="J21" s="3" t="s">
        <v>529</v>
      </c>
      <c r="K21" s="3" t="s">
        <v>517</v>
      </c>
    </row>
    <row r="22" ht="15.75" customHeight="1">
      <c r="A22" s="2" t="s">
        <v>550</v>
      </c>
      <c r="B22" s="2" t="s">
        <v>228</v>
      </c>
      <c r="C22" s="2" t="s">
        <v>19</v>
      </c>
      <c r="D22" s="2" t="s">
        <v>551</v>
      </c>
      <c r="E22" s="2" t="s">
        <v>22</v>
      </c>
      <c r="F22" s="4">
        <v>20.0</v>
      </c>
      <c r="G22" s="4">
        <v>52000.0</v>
      </c>
      <c r="H22" s="4">
        <f t="shared" si="1"/>
        <v>1040000</v>
      </c>
      <c r="I22" s="3" t="s">
        <v>516</v>
      </c>
      <c r="J22" s="3" t="s">
        <v>521</v>
      </c>
      <c r="K22" s="3" t="s">
        <v>517</v>
      </c>
    </row>
    <row r="23" ht="15.75" customHeight="1">
      <c r="A23" s="2" t="s">
        <v>552</v>
      </c>
      <c r="B23" s="2" t="s">
        <v>244</v>
      </c>
      <c r="C23" s="2" t="s">
        <v>14</v>
      </c>
      <c r="D23" s="3" t="s">
        <v>15</v>
      </c>
      <c r="E23" s="2" t="s">
        <v>11</v>
      </c>
      <c r="F23" s="4">
        <v>30.0</v>
      </c>
      <c r="G23" s="4">
        <v>120000.0</v>
      </c>
      <c r="H23" s="4">
        <f t="shared" si="1"/>
        <v>3600000</v>
      </c>
      <c r="I23" s="3" t="s">
        <v>524</v>
      </c>
      <c r="J23" s="3" t="s">
        <v>521</v>
      </c>
      <c r="K23" s="3" t="s">
        <v>517</v>
      </c>
    </row>
    <row r="24" ht="15.75" customHeight="1">
      <c r="A24" s="2" t="s">
        <v>553</v>
      </c>
      <c r="B24" s="2" t="s">
        <v>259</v>
      </c>
      <c r="C24" s="2" t="s">
        <v>12</v>
      </c>
      <c r="D24" s="3" t="s">
        <v>13</v>
      </c>
      <c r="E24" s="2" t="s">
        <v>11</v>
      </c>
      <c r="F24" s="4">
        <v>80.0</v>
      </c>
      <c r="G24" s="4">
        <v>25000.0</v>
      </c>
      <c r="H24" s="4">
        <f t="shared" si="1"/>
        <v>2000000</v>
      </c>
      <c r="I24" s="3" t="s">
        <v>524</v>
      </c>
      <c r="J24" s="3" t="s">
        <v>521</v>
      </c>
      <c r="K24" s="3" t="s">
        <v>517</v>
      </c>
    </row>
    <row r="25" ht="15.75" customHeight="1">
      <c r="A25" s="2" t="s">
        <v>554</v>
      </c>
      <c r="B25" s="2" t="s">
        <v>259</v>
      </c>
      <c r="C25" s="2" t="s">
        <v>16</v>
      </c>
      <c r="D25" s="2" t="s">
        <v>555</v>
      </c>
      <c r="E25" s="2" t="s">
        <v>18</v>
      </c>
      <c r="F25" s="4">
        <v>80.0</v>
      </c>
      <c r="G25" s="4">
        <v>320000.0</v>
      </c>
      <c r="H25" s="4">
        <f t="shared" si="1"/>
        <v>25600000</v>
      </c>
      <c r="I25" s="3" t="s">
        <v>520</v>
      </c>
      <c r="J25" s="3" t="s">
        <v>529</v>
      </c>
      <c r="K25" s="3" t="s">
        <v>517</v>
      </c>
    </row>
    <row r="26" ht="15.75" customHeight="1">
      <c r="A26" s="2" t="s">
        <v>556</v>
      </c>
      <c r="B26" s="2" t="s">
        <v>259</v>
      </c>
      <c r="C26" s="2" t="s">
        <v>16</v>
      </c>
      <c r="D26" s="2" t="s">
        <v>557</v>
      </c>
      <c r="E26" s="2" t="s">
        <v>18</v>
      </c>
      <c r="F26" s="4">
        <v>200.0</v>
      </c>
      <c r="G26" s="4">
        <v>320000.0</v>
      </c>
      <c r="H26" s="4">
        <f t="shared" si="1"/>
        <v>64000000</v>
      </c>
      <c r="I26" s="3" t="s">
        <v>520</v>
      </c>
      <c r="J26" s="3" t="s">
        <v>529</v>
      </c>
      <c r="K26" s="3" t="s">
        <v>517</v>
      </c>
    </row>
    <row r="27" ht="15.75" customHeight="1">
      <c r="A27" s="2" t="s">
        <v>558</v>
      </c>
      <c r="B27" s="2" t="s">
        <v>268</v>
      </c>
      <c r="C27" s="2" t="s">
        <v>38</v>
      </c>
      <c r="D27" s="3" t="s">
        <v>39</v>
      </c>
      <c r="E27" s="2" t="s">
        <v>26</v>
      </c>
      <c r="F27" s="4">
        <v>20.0</v>
      </c>
      <c r="G27" s="4">
        <v>78000.0</v>
      </c>
      <c r="H27" s="4">
        <f t="shared" si="1"/>
        <v>1560000</v>
      </c>
      <c r="I27" s="3" t="s">
        <v>520</v>
      </c>
      <c r="J27" s="3" t="s">
        <v>65</v>
      </c>
      <c r="K27" s="3" t="s">
        <v>517</v>
      </c>
    </row>
    <row r="28" ht="15.75" customHeight="1">
      <c r="A28" s="2" t="s">
        <v>559</v>
      </c>
      <c r="B28" s="2" t="s">
        <v>275</v>
      </c>
      <c r="C28" s="2" t="s">
        <v>27</v>
      </c>
      <c r="D28" s="3" t="s">
        <v>560</v>
      </c>
      <c r="E28" s="2" t="s">
        <v>29</v>
      </c>
      <c r="F28" s="4">
        <v>30.0</v>
      </c>
      <c r="G28" s="4">
        <v>95000.0</v>
      </c>
      <c r="H28" s="4">
        <f t="shared" si="1"/>
        <v>2850000</v>
      </c>
      <c r="I28" s="3" t="s">
        <v>524</v>
      </c>
      <c r="J28" s="3" t="s">
        <v>521</v>
      </c>
      <c r="K28" s="3" t="s">
        <v>517</v>
      </c>
    </row>
    <row r="29" ht="15.75" customHeight="1">
      <c r="A29" s="2" t="s">
        <v>561</v>
      </c>
      <c r="B29" s="2" t="s">
        <v>289</v>
      </c>
      <c r="C29" s="2" t="s">
        <v>8</v>
      </c>
      <c r="D29" s="3" t="s">
        <v>562</v>
      </c>
      <c r="E29" s="2" t="s">
        <v>11</v>
      </c>
      <c r="F29" s="4">
        <v>80.0</v>
      </c>
      <c r="G29" s="4">
        <v>1450000.0</v>
      </c>
      <c r="H29" s="4">
        <f t="shared" si="1"/>
        <v>116000000</v>
      </c>
      <c r="I29" s="3" t="s">
        <v>520</v>
      </c>
      <c r="J29" s="3" t="s">
        <v>521</v>
      </c>
      <c r="K29" s="3" t="s">
        <v>517</v>
      </c>
    </row>
    <row r="30" ht="15.75" customHeight="1">
      <c r="A30" s="2" t="s">
        <v>563</v>
      </c>
      <c r="B30" s="2" t="s">
        <v>289</v>
      </c>
      <c r="C30" s="2" t="s">
        <v>34</v>
      </c>
      <c r="D30" s="3" t="s">
        <v>35</v>
      </c>
      <c r="E30" s="2" t="s">
        <v>37</v>
      </c>
      <c r="F30" s="4">
        <v>50.0</v>
      </c>
      <c r="G30" s="4">
        <v>220000.0</v>
      </c>
      <c r="H30" s="4">
        <f t="shared" si="1"/>
        <v>11000000</v>
      </c>
      <c r="I30" s="3" t="s">
        <v>520</v>
      </c>
      <c r="J30" s="3" t="s">
        <v>529</v>
      </c>
      <c r="K30" s="3" t="s">
        <v>517</v>
      </c>
    </row>
    <row r="31" ht="15.75" customHeight="1">
      <c r="A31" s="2" t="s">
        <v>564</v>
      </c>
      <c r="B31" s="2" t="s">
        <v>289</v>
      </c>
      <c r="C31" s="2" t="s">
        <v>14</v>
      </c>
      <c r="D31" s="3" t="s">
        <v>15</v>
      </c>
      <c r="E31" s="2" t="s">
        <v>11</v>
      </c>
      <c r="F31" s="4">
        <v>30.0</v>
      </c>
      <c r="G31" s="4">
        <v>120000.0</v>
      </c>
      <c r="H31" s="4">
        <f t="shared" si="1"/>
        <v>3600000</v>
      </c>
      <c r="I31" s="3" t="s">
        <v>516</v>
      </c>
      <c r="J31" s="3" t="s">
        <v>521</v>
      </c>
      <c r="K31" s="3" t="s">
        <v>517</v>
      </c>
    </row>
    <row r="32" ht="15.75" customHeight="1">
      <c r="A32" s="2" t="s">
        <v>565</v>
      </c>
      <c r="B32" s="2" t="s">
        <v>299</v>
      </c>
      <c r="C32" s="2" t="s">
        <v>34</v>
      </c>
      <c r="D32" s="3" t="s">
        <v>35</v>
      </c>
      <c r="E32" s="2" t="s">
        <v>37</v>
      </c>
      <c r="F32" s="4">
        <v>80.0</v>
      </c>
      <c r="G32" s="4">
        <v>220000.0</v>
      </c>
      <c r="H32" s="4">
        <f t="shared" si="1"/>
        <v>17600000</v>
      </c>
      <c r="I32" s="3" t="s">
        <v>520</v>
      </c>
      <c r="J32" s="3" t="s">
        <v>65</v>
      </c>
      <c r="K32" s="3" t="s">
        <v>517</v>
      </c>
    </row>
    <row r="33" ht="15.75" customHeight="1">
      <c r="A33" s="2" t="s">
        <v>566</v>
      </c>
      <c r="B33" s="2" t="s">
        <v>299</v>
      </c>
      <c r="C33" s="2" t="s">
        <v>23</v>
      </c>
      <c r="D33" s="3" t="s">
        <v>24</v>
      </c>
      <c r="E33" s="2" t="s">
        <v>26</v>
      </c>
      <c r="F33" s="4">
        <v>200.0</v>
      </c>
      <c r="G33" s="4">
        <v>260000.0</v>
      </c>
      <c r="H33" s="4">
        <f t="shared" si="1"/>
        <v>52000000</v>
      </c>
      <c r="I33" s="3" t="s">
        <v>520</v>
      </c>
      <c r="J33" s="3" t="s">
        <v>529</v>
      </c>
      <c r="K33" s="3" t="s">
        <v>517</v>
      </c>
    </row>
    <row r="34" ht="15.75" customHeight="1">
      <c r="A34" s="2" t="s">
        <v>567</v>
      </c>
      <c r="B34" s="2" t="s">
        <v>315</v>
      </c>
      <c r="C34" s="2" t="s">
        <v>38</v>
      </c>
      <c r="D34" s="3" t="s">
        <v>39</v>
      </c>
      <c r="E34" s="2" t="s">
        <v>26</v>
      </c>
      <c r="F34" s="4">
        <v>150.0</v>
      </c>
      <c r="G34" s="4">
        <v>78000.0</v>
      </c>
      <c r="H34" s="4">
        <f t="shared" si="1"/>
        <v>11700000</v>
      </c>
      <c r="I34" s="3" t="s">
        <v>520</v>
      </c>
      <c r="J34" s="3" t="s">
        <v>529</v>
      </c>
      <c r="K34" s="3" t="s">
        <v>525</v>
      </c>
    </row>
    <row r="35" ht="15.75" customHeight="1">
      <c r="A35" s="2" t="s">
        <v>568</v>
      </c>
      <c r="B35" s="2" t="s">
        <v>315</v>
      </c>
      <c r="C35" s="2" t="s">
        <v>16</v>
      </c>
      <c r="D35" s="2" t="s">
        <v>569</v>
      </c>
      <c r="E35" s="2" t="s">
        <v>18</v>
      </c>
      <c r="F35" s="4">
        <v>200.0</v>
      </c>
      <c r="G35" s="4">
        <v>320000.0</v>
      </c>
      <c r="H35" s="4">
        <f t="shared" si="1"/>
        <v>64000000</v>
      </c>
      <c r="I35" s="3" t="s">
        <v>520</v>
      </c>
      <c r="J35" s="3" t="s">
        <v>529</v>
      </c>
      <c r="K35" s="3" t="s">
        <v>525</v>
      </c>
    </row>
    <row r="36" ht="15.75" customHeight="1">
      <c r="A36" s="2" t="s">
        <v>570</v>
      </c>
      <c r="B36" s="2" t="s">
        <v>328</v>
      </c>
      <c r="C36" s="2" t="s">
        <v>14</v>
      </c>
      <c r="D36" s="3" t="s">
        <v>15</v>
      </c>
      <c r="E36" s="2" t="s">
        <v>11</v>
      </c>
      <c r="F36" s="4">
        <v>50.0</v>
      </c>
      <c r="G36" s="4">
        <v>120000.0</v>
      </c>
      <c r="H36" s="4">
        <f t="shared" si="1"/>
        <v>6000000</v>
      </c>
      <c r="I36" s="3" t="s">
        <v>516</v>
      </c>
      <c r="J36" s="3" t="s">
        <v>529</v>
      </c>
      <c r="K36" s="3" t="s">
        <v>517</v>
      </c>
    </row>
    <row r="37" ht="15.75" customHeight="1">
      <c r="A37" s="2" t="s">
        <v>571</v>
      </c>
      <c r="B37" s="2" t="s">
        <v>357</v>
      </c>
      <c r="C37" s="2" t="s">
        <v>30</v>
      </c>
      <c r="D37" s="3" t="s">
        <v>572</v>
      </c>
      <c r="E37" s="2" t="s">
        <v>33</v>
      </c>
      <c r="F37" s="4">
        <v>50.0</v>
      </c>
      <c r="G37" s="4">
        <v>115000.0</v>
      </c>
      <c r="H37" s="4">
        <f t="shared" si="1"/>
        <v>5750000</v>
      </c>
      <c r="I37" s="3" t="s">
        <v>524</v>
      </c>
      <c r="J37" s="3" t="s">
        <v>65</v>
      </c>
      <c r="K37" s="3" t="s">
        <v>517</v>
      </c>
    </row>
    <row r="38" ht="15.75" customHeight="1">
      <c r="A38" s="2" t="s">
        <v>573</v>
      </c>
      <c r="B38" s="2" t="s">
        <v>365</v>
      </c>
      <c r="C38" s="2" t="s">
        <v>34</v>
      </c>
      <c r="D38" s="3" t="s">
        <v>35</v>
      </c>
      <c r="E38" s="2" t="s">
        <v>37</v>
      </c>
      <c r="F38" s="4">
        <v>80.0</v>
      </c>
      <c r="G38" s="4">
        <v>220000.0</v>
      </c>
      <c r="H38" s="4">
        <f t="shared" si="1"/>
        <v>17600000</v>
      </c>
      <c r="I38" s="3" t="s">
        <v>520</v>
      </c>
      <c r="J38" s="3" t="s">
        <v>521</v>
      </c>
      <c r="K38" s="3" t="s">
        <v>525</v>
      </c>
    </row>
    <row r="39" ht="15.75" customHeight="1">
      <c r="A39" s="2" t="s">
        <v>574</v>
      </c>
      <c r="B39" s="2" t="s">
        <v>371</v>
      </c>
      <c r="C39" s="2" t="s">
        <v>34</v>
      </c>
      <c r="D39" s="3" t="s">
        <v>35</v>
      </c>
      <c r="E39" s="2" t="s">
        <v>37</v>
      </c>
      <c r="F39" s="4">
        <v>80.0</v>
      </c>
      <c r="G39" s="4">
        <v>220000.0</v>
      </c>
      <c r="H39" s="4">
        <f t="shared" si="1"/>
        <v>17600000</v>
      </c>
      <c r="I39" s="3" t="s">
        <v>524</v>
      </c>
      <c r="J39" s="3" t="s">
        <v>65</v>
      </c>
      <c r="K39" s="3" t="s">
        <v>517</v>
      </c>
    </row>
    <row r="40" ht="15.75" customHeight="1">
      <c r="A40" s="2" t="s">
        <v>575</v>
      </c>
      <c r="B40" s="2" t="s">
        <v>576</v>
      </c>
      <c r="C40" s="2" t="s">
        <v>19</v>
      </c>
      <c r="D40" s="2" t="s">
        <v>577</v>
      </c>
      <c r="E40" s="2" t="s">
        <v>22</v>
      </c>
      <c r="F40" s="4">
        <v>200.0</v>
      </c>
      <c r="G40" s="4">
        <v>52000.0</v>
      </c>
      <c r="H40" s="4">
        <f t="shared" si="1"/>
        <v>10400000</v>
      </c>
      <c r="I40" s="3" t="s">
        <v>520</v>
      </c>
      <c r="J40" s="3" t="s">
        <v>529</v>
      </c>
      <c r="K40" s="3" t="s">
        <v>517</v>
      </c>
    </row>
    <row r="41" ht="15.75" customHeight="1">
      <c r="A41" s="2" t="s">
        <v>578</v>
      </c>
      <c r="B41" s="2" t="s">
        <v>396</v>
      </c>
      <c r="C41" s="2" t="s">
        <v>27</v>
      </c>
      <c r="D41" s="3" t="s">
        <v>579</v>
      </c>
      <c r="E41" s="2" t="s">
        <v>29</v>
      </c>
      <c r="F41" s="4">
        <v>200.0</v>
      </c>
      <c r="G41" s="4">
        <v>95000.0</v>
      </c>
      <c r="H41" s="4">
        <f t="shared" si="1"/>
        <v>19000000</v>
      </c>
      <c r="I41" s="3" t="s">
        <v>524</v>
      </c>
      <c r="J41" s="3" t="s">
        <v>521</v>
      </c>
      <c r="K41" s="3" t="s">
        <v>517</v>
      </c>
    </row>
    <row r="42" ht="15.75" customHeight="1">
      <c r="A42" s="2" t="s">
        <v>580</v>
      </c>
      <c r="B42" s="2" t="s">
        <v>581</v>
      </c>
      <c r="C42" s="2" t="s">
        <v>30</v>
      </c>
      <c r="D42" s="3" t="s">
        <v>582</v>
      </c>
      <c r="E42" s="2" t="s">
        <v>33</v>
      </c>
      <c r="F42" s="4">
        <v>150.0</v>
      </c>
      <c r="G42" s="4">
        <v>115000.0</v>
      </c>
      <c r="H42" s="4">
        <f t="shared" si="1"/>
        <v>17250000</v>
      </c>
      <c r="I42" s="3" t="s">
        <v>516</v>
      </c>
      <c r="J42" s="3" t="s">
        <v>529</v>
      </c>
      <c r="K42" s="3" t="s">
        <v>517</v>
      </c>
    </row>
    <row r="43" ht="15.75" customHeight="1">
      <c r="A43" s="2" t="s">
        <v>583</v>
      </c>
      <c r="B43" s="2" t="s">
        <v>581</v>
      </c>
      <c r="C43" s="2" t="s">
        <v>23</v>
      </c>
      <c r="D43" s="3" t="s">
        <v>24</v>
      </c>
      <c r="E43" s="2" t="s">
        <v>26</v>
      </c>
      <c r="F43" s="4">
        <v>100.0</v>
      </c>
      <c r="G43" s="4">
        <v>260000.0</v>
      </c>
      <c r="H43" s="4">
        <f t="shared" si="1"/>
        <v>26000000</v>
      </c>
      <c r="I43" s="3" t="s">
        <v>524</v>
      </c>
      <c r="J43" s="3" t="s">
        <v>521</v>
      </c>
      <c r="K43" s="3" t="s">
        <v>517</v>
      </c>
    </row>
    <row r="44" ht="15.75" customHeight="1">
      <c r="A44" s="2" t="s">
        <v>584</v>
      </c>
      <c r="B44" s="2" t="s">
        <v>400</v>
      </c>
      <c r="C44" s="2" t="s">
        <v>19</v>
      </c>
      <c r="D44" s="2" t="s">
        <v>585</v>
      </c>
      <c r="E44" s="2" t="s">
        <v>22</v>
      </c>
      <c r="F44" s="4">
        <v>50.0</v>
      </c>
      <c r="G44" s="4">
        <v>52000.0</v>
      </c>
      <c r="H44" s="4">
        <f t="shared" si="1"/>
        <v>2600000</v>
      </c>
      <c r="I44" s="3" t="s">
        <v>520</v>
      </c>
      <c r="J44" s="3" t="s">
        <v>521</v>
      </c>
      <c r="K44" s="3" t="s">
        <v>517</v>
      </c>
    </row>
    <row r="45" ht="15.75" customHeight="1">
      <c r="A45" s="2" t="s">
        <v>586</v>
      </c>
      <c r="B45" s="2" t="s">
        <v>400</v>
      </c>
      <c r="C45" s="2" t="s">
        <v>19</v>
      </c>
      <c r="D45" s="2" t="s">
        <v>587</v>
      </c>
      <c r="E45" s="2" t="s">
        <v>22</v>
      </c>
      <c r="F45" s="4">
        <v>150.0</v>
      </c>
      <c r="G45" s="4">
        <v>52000.0</v>
      </c>
      <c r="H45" s="4">
        <f t="shared" si="1"/>
        <v>7800000</v>
      </c>
      <c r="I45" s="3" t="s">
        <v>524</v>
      </c>
      <c r="J45" s="3" t="s">
        <v>529</v>
      </c>
      <c r="K45" s="3" t="s">
        <v>517</v>
      </c>
    </row>
    <row r="46" ht="15.75" customHeight="1">
      <c r="A46" s="2" t="s">
        <v>588</v>
      </c>
      <c r="B46" s="2" t="s">
        <v>405</v>
      </c>
      <c r="C46" s="2" t="s">
        <v>19</v>
      </c>
      <c r="D46" s="2" t="s">
        <v>589</v>
      </c>
      <c r="E46" s="2" t="s">
        <v>22</v>
      </c>
      <c r="F46" s="4">
        <v>30.0</v>
      </c>
      <c r="G46" s="4">
        <v>52000.0</v>
      </c>
      <c r="H46" s="4">
        <f t="shared" si="1"/>
        <v>1560000</v>
      </c>
      <c r="I46" s="3" t="s">
        <v>516</v>
      </c>
      <c r="J46" s="3" t="s">
        <v>529</v>
      </c>
      <c r="K46" s="3" t="s">
        <v>517</v>
      </c>
    </row>
    <row r="47" ht="15.75" customHeight="1">
      <c r="A47" s="2" t="s">
        <v>590</v>
      </c>
      <c r="B47" s="2" t="s">
        <v>405</v>
      </c>
      <c r="C47" s="2" t="s">
        <v>19</v>
      </c>
      <c r="D47" s="2" t="s">
        <v>591</v>
      </c>
      <c r="E47" s="2" t="s">
        <v>22</v>
      </c>
      <c r="F47" s="4">
        <v>200.0</v>
      </c>
      <c r="G47" s="4">
        <v>52000.0</v>
      </c>
      <c r="H47" s="4">
        <f t="shared" si="1"/>
        <v>10400000</v>
      </c>
      <c r="I47" s="3" t="s">
        <v>516</v>
      </c>
      <c r="J47" s="3" t="s">
        <v>521</v>
      </c>
      <c r="K47" s="3" t="s">
        <v>517</v>
      </c>
    </row>
    <row r="48" ht="15.75" customHeight="1">
      <c r="A48" s="2" t="s">
        <v>592</v>
      </c>
      <c r="B48" s="2" t="s">
        <v>418</v>
      </c>
      <c r="C48" s="2" t="s">
        <v>23</v>
      </c>
      <c r="D48" s="3" t="s">
        <v>24</v>
      </c>
      <c r="E48" s="2" t="s">
        <v>26</v>
      </c>
      <c r="F48" s="4">
        <v>80.0</v>
      </c>
      <c r="G48" s="4">
        <v>260000.0</v>
      </c>
      <c r="H48" s="4">
        <f t="shared" si="1"/>
        <v>20800000</v>
      </c>
      <c r="I48" s="3" t="s">
        <v>516</v>
      </c>
      <c r="J48" s="3" t="s">
        <v>65</v>
      </c>
      <c r="K48" s="3" t="s">
        <v>517</v>
      </c>
    </row>
    <row r="49" ht="15.75" customHeight="1">
      <c r="A49" s="2" t="s">
        <v>593</v>
      </c>
      <c r="B49" s="2" t="s">
        <v>425</v>
      </c>
      <c r="C49" s="2" t="s">
        <v>19</v>
      </c>
      <c r="D49" s="2" t="s">
        <v>594</v>
      </c>
      <c r="E49" s="2" t="s">
        <v>22</v>
      </c>
      <c r="F49" s="4">
        <v>200.0</v>
      </c>
      <c r="G49" s="4">
        <v>52000.0</v>
      </c>
      <c r="H49" s="4">
        <f t="shared" si="1"/>
        <v>10400000</v>
      </c>
      <c r="I49" s="3" t="s">
        <v>516</v>
      </c>
      <c r="J49" s="3" t="s">
        <v>521</v>
      </c>
      <c r="K49" s="3" t="s">
        <v>517</v>
      </c>
    </row>
    <row r="50" ht="15.75" customHeight="1">
      <c r="A50" s="2" t="s">
        <v>595</v>
      </c>
      <c r="B50" s="2" t="s">
        <v>430</v>
      </c>
      <c r="C50" s="2" t="s">
        <v>30</v>
      </c>
      <c r="D50" s="3" t="s">
        <v>596</v>
      </c>
      <c r="E50" s="2" t="s">
        <v>33</v>
      </c>
      <c r="F50" s="4">
        <v>50.0</v>
      </c>
      <c r="G50" s="4">
        <v>115000.0</v>
      </c>
      <c r="H50" s="4">
        <f t="shared" si="1"/>
        <v>5750000</v>
      </c>
      <c r="I50" s="3" t="s">
        <v>516</v>
      </c>
      <c r="J50" s="3" t="s">
        <v>521</v>
      </c>
      <c r="K50" s="3" t="s">
        <v>517</v>
      </c>
    </row>
    <row r="51" ht="15.75" customHeight="1">
      <c r="A51" s="2" t="s">
        <v>597</v>
      </c>
      <c r="B51" s="2" t="s">
        <v>436</v>
      </c>
      <c r="C51" s="2" t="s">
        <v>14</v>
      </c>
      <c r="D51" s="3" t="s">
        <v>15</v>
      </c>
      <c r="E51" s="2" t="s">
        <v>11</v>
      </c>
      <c r="F51" s="4">
        <v>50.0</v>
      </c>
      <c r="G51" s="4">
        <v>120000.0</v>
      </c>
      <c r="H51" s="4">
        <f t="shared" si="1"/>
        <v>6000000</v>
      </c>
      <c r="I51" s="3" t="s">
        <v>516</v>
      </c>
      <c r="J51" s="3" t="s">
        <v>529</v>
      </c>
      <c r="K51" s="3" t="s">
        <v>517</v>
      </c>
    </row>
    <row r="52" ht="15.75" customHeight="1">
      <c r="A52" s="2" t="s">
        <v>598</v>
      </c>
      <c r="B52" s="2" t="s">
        <v>599</v>
      </c>
      <c r="C52" s="2" t="s">
        <v>19</v>
      </c>
      <c r="D52" s="2" t="s">
        <v>600</v>
      </c>
      <c r="E52" s="2" t="s">
        <v>22</v>
      </c>
      <c r="F52" s="4">
        <v>100.0</v>
      </c>
      <c r="G52" s="4">
        <v>52000.0</v>
      </c>
      <c r="H52" s="4">
        <f t="shared" si="1"/>
        <v>5200000</v>
      </c>
      <c r="I52" s="3" t="s">
        <v>524</v>
      </c>
      <c r="J52" s="3" t="s">
        <v>521</v>
      </c>
      <c r="K52" s="3" t="s">
        <v>517</v>
      </c>
    </row>
    <row r="53" ht="15.75" customHeight="1">
      <c r="A53" s="2" t="s">
        <v>601</v>
      </c>
      <c r="B53" s="2" t="s">
        <v>599</v>
      </c>
      <c r="C53" s="2" t="s">
        <v>30</v>
      </c>
      <c r="D53" s="3" t="s">
        <v>602</v>
      </c>
      <c r="E53" s="2" t="s">
        <v>33</v>
      </c>
      <c r="F53" s="4">
        <v>200.0</v>
      </c>
      <c r="G53" s="4">
        <v>115000.0</v>
      </c>
      <c r="H53" s="4">
        <f t="shared" si="1"/>
        <v>23000000</v>
      </c>
      <c r="I53" s="3" t="s">
        <v>516</v>
      </c>
      <c r="J53" s="3" t="s">
        <v>521</v>
      </c>
      <c r="K53" s="3" t="s">
        <v>517</v>
      </c>
    </row>
    <row r="54" ht="15.75" customHeight="1">
      <c r="A54" s="2" t="s">
        <v>603</v>
      </c>
      <c r="B54" s="2" t="s">
        <v>441</v>
      </c>
      <c r="C54" s="2" t="s">
        <v>27</v>
      </c>
      <c r="D54" s="3" t="s">
        <v>604</v>
      </c>
      <c r="E54" s="2" t="s">
        <v>29</v>
      </c>
      <c r="F54" s="4">
        <v>30.0</v>
      </c>
      <c r="G54" s="4">
        <v>95000.0</v>
      </c>
      <c r="H54" s="4">
        <f t="shared" si="1"/>
        <v>2850000</v>
      </c>
      <c r="I54" s="3" t="s">
        <v>516</v>
      </c>
      <c r="J54" s="3" t="s">
        <v>65</v>
      </c>
      <c r="K54" s="3" t="s">
        <v>517</v>
      </c>
    </row>
    <row r="55" ht="15.75" customHeight="1">
      <c r="A55" s="2" t="s">
        <v>605</v>
      </c>
      <c r="B55" s="2" t="s">
        <v>463</v>
      </c>
      <c r="C55" s="2" t="s">
        <v>38</v>
      </c>
      <c r="D55" s="3" t="s">
        <v>39</v>
      </c>
      <c r="E55" s="2" t="s">
        <v>26</v>
      </c>
      <c r="F55" s="4">
        <v>50.0</v>
      </c>
      <c r="G55" s="4">
        <v>78000.0</v>
      </c>
      <c r="H55" s="4">
        <f t="shared" si="1"/>
        <v>3900000</v>
      </c>
      <c r="I55" s="3" t="s">
        <v>516</v>
      </c>
      <c r="J55" s="3" t="s">
        <v>65</v>
      </c>
      <c r="K55" s="3" t="s">
        <v>517</v>
      </c>
    </row>
    <row r="56" ht="15.75" customHeight="1">
      <c r="A56" s="2" t="s">
        <v>606</v>
      </c>
      <c r="B56" s="2" t="s">
        <v>469</v>
      </c>
      <c r="C56" s="2" t="s">
        <v>30</v>
      </c>
      <c r="D56" s="3" t="s">
        <v>607</v>
      </c>
      <c r="E56" s="2" t="s">
        <v>33</v>
      </c>
      <c r="F56" s="4">
        <v>50.0</v>
      </c>
      <c r="G56" s="4">
        <v>115000.0</v>
      </c>
      <c r="H56" s="4">
        <f t="shared" si="1"/>
        <v>5750000</v>
      </c>
      <c r="I56" s="3" t="s">
        <v>516</v>
      </c>
      <c r="J56" s="3" t="s">
        <v>65</v>
      </c>
      <c r="K56" s="3" t="s">
        <v>517</v>
      </c>
    </row>
    <row r="57" ht="15.75" customHeight="1">
      <c r="A57" s="2" t="s">
        <v>608</v>
      </c>
      <c r="B57" s="2" t="s">
        <v>494</v>
      </c>
      <c r="C57" s="2" t="s">
        <v>23</v>
      </c>
      <c r="D57" s="3" t="s">
        <v>24</v>
      </c>
      <c r="E57" s="2" t="s">
        <v>26</v>
      </c>
      <c r="F57" s="4">
        <v>150.0</v>
      </c>
      <c r="G57" s="4">
        <v>260000.0</v>
      </c>
      <c r="H57" s="4">
        <f t="shared" si="1"/>
        <v>39000000</v>
      </c>
      <c r="I57" s="3" t="s">
        <v>524</v>
      </c>
      <c r="J57" s="3" t="s">
        <v>521</v>
      </c>
      <c r="K57" s="3" t="s">
        <v>517</v>
      </c>
    </row>
    <row r="58" ht="15.75" customHeight="1">
      <c r="A58" s="2" t="s">
        <v>609</v>
      </c>
      <c r="B58" s="2" t="s">
        <v>494</v>
      </c>
      <c r="C58" s="2" t="s">
        <v>27</v>
      </c>
      <c r="D58" s="3" t="s">
        <v>610</v>
      </c>
      <c r="E58" s="2" t="s">
        <v>29</v>
      </c>
      <c r="F58" s="4">
        <v>50.0</v>
      </c>
      <c r="G58" s="4">
        <v>95000.0</v>
      </c>
      <c r="H58" s="4">
        <f t="shared" si="1"/>
        <v>4750000</v>
      </c>
      <c r="I58" s="3" t="s">
        <v>524</v>
      </c>
      <c r="J58" s="3" t="s">
        <v>65</v>
      </c>
      <c r="K58" s="3" t="s">
        <v>517</v>
      </c>
    </row>
    <row r="59" ht="15.75" customHeight="1">
      <c r="A59" s="2" t="s">
        <v>611</v>
      </c>
      <c r="B59" s="2" t="s">
        <v>494</v>
      </c>
      <c r="C59" s="2" t="s">
        <v>19</v>
      </c>
      <c r="D59" s="2" t="s">
        <v>612</v>
      </c>
      <c r="E59" s="2" t="s">
        <v>22</v>
      </c>
      <c r="F59" s="4">
        <v>100.0</v>
      </c>
      <c r="G59" s="4">
        <v>52000.0</v>
      </c>
      <c r="H59" s="4">
        <f t="shared" si="1"/>
        <v>5200000</v>
      </c>
      <c r="I59" s="3" t="s">
        <v>524</v>
      </c>
      <c r="J59" s="3" t="s">
        <v>65</v>
      </c>
      <c r="K59" s="3" t="s">
        <v>517</v>
      </c>
    </row>
    <row r="60" ht="15.75" customHeight="1">
      <c r="A60" s="2" t="s">
        <v>613</v>
      </c>
      <c r="B60" s="2" t="s">
        <v>614</v>
      </c>
      <c r="C60" s="2" t="s">
        <v>14</v>
      </c>
      <c r="D60" s="3" t="s">
        <v>15</v>
      </c>
      <c r="E60" s="2" t="s">
        <v>11</v>
      </c>
      <c r="F60" s="4">
        <v>200.0</v>
      </c>
      <c r="G60" s="4">
        <v>120000.0</v>
      </c>
      <c r="H60" s="4">
        <f t="shared" si="1"/>
        <v>24000000</v>
      </c>
      <c r="I60" s="3" t="s">
        <v>524</v>
      </c>
      <c r="J60" s="3" t="s">
        <v>521</v>
      </c>
      <c r="K60" s="3" t="s">
        <v>517</v>
      </c>
    </row>
    <row r="61" ht="15.75" customHeight="1">
      <c r="A61" s="2" t="s">
        <v>615</v>
      </c>
      <c r="B61" s="2" t="s">
        <v>614</v>
      </c>
      <c r="C61" s="2" t="s">
        <v>12</v>
      </c>
      <c r="D61" s="3" t="s">
        <v>13</v>
      </c>
      <c r="E61" s="2" t="s">
        <v>11</v>
      </c>
      <c r="F61" s="4">
        <v>30.0</v>
      </c>
      <c r="G61" s="4">
        <v>25000.0</v>
      </c>
      <c r="H61" s="4">
        <f t="shared" si="1"/>
        <v>750000</v>
      </c>
      <c r="I61" s="3" t="s">
        <v>520</v>
      </c>
      <c r="J61" s="3" t="s">
        <v>529</v>
      </c>
      <c r="K61" s="3" t="s">
        <v>517</v>
      </c>
    </row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12.0"/>
    <col customWidth="1" min="3" max="3" width="10.0"/>
    <col customWidth="1" min="4" max="4" width="22.0"/>
    <col customWidth="1" min="5" max="5" width="10.0"/>
    <col customWidth="1" min="6" max="7" width="12.0"/>
    <col customWidth="1" min="8" max="8" width="10.0"/>
    <col customWidth="1" min="9" max="9" width="16.0"/>
    <col customWidth="1" min="10" max="10" width="10.0"/>
    <col customWidth="1" min="11" max="26" width="8.71"/>
  </cols>
  <sheetData>
    <row r="1" ht="24.0" customHeight="1">
      <c r="A1" s="1" t="s">
        <v>616</v>
      </c>
      <c r="B1" s="1" t="s">
        <v>617</v>
      </c>
      <c r="C1" s="1" t="s">
        <v>0</v>
      </c>
      <c r="D1" s="1" t="s">
        <v>1</v>
      </c>
      <c r="E1" s="1" t="s">
        <v>618</v>
      </c>
      <c r="F1" s="1" t="s">
        <v>619</v>
      </c>
      <c r="G1" s="1" t="s">
        <v>620</v>
      </c>
      <c r="H1" s="1" t="s">
        <v>621</v>
      </c>
      <c r="I1" s="1" t="s">
        <v>512</v>
      </c>
      <c r="J1" s="1" t="s">
        <v>49</v>
      </c>
    </row>
    <row r="2">
      <c r="A2" s="2" t="s">
        <v>622</v>
      </c>
      <c r="B2" s="2" t="s">
        <v>51</v>
      </c>
      <c r="C2" s="2" t="s">
        <v>34</v>
      </c>
      <c r="D2" s="3" t="s">
        <v>35</v>
      </c>
      <c r="E2" s="4">
        <v>2.0</v>
      </c>
      <c r="F2" s="3" t="s">
        <v>623</v>
      </c>
      <c r="G2" s="2" t="s">
        <v>57</v>
      </c>
      <c r="H2" s="3" t="s">
        <v>59</v>
      </c>
      <c r="I2" s="3" t="s">
        <v>520</v>
      </c>
      <c r="J2" s="3" t="s">
        <v>624</v>
      </c>
    </row>
    <row r="3">
      <c r="A3" s="2" t="s">
        <v>625</v>
      </c>
      <c r="B3" s="2" t="s">
        <v>51</v>
      </c>
      <c r="C3" s="2" t="s">
        <v>23</v>
      </c>
      <c r="D3" s="3" t="s">
        <v>24</v>
      </c>
      <c r="E3" s="4">
        <v>1.0</v>
      </c>
      <c r="F3" s="3" t="s">
        <v>623</v>
      </c>
      <c r="G3" s="2" t="s">
        <v>62</v>
      </c>
      <c r="H3" s="3" t="s">
        <v>54</v>
      </c>
      <c r="I3" s="3" t="s">
        <v>516</v>
      </c>
      <c r="J3" s="3" t="s">
        <v>624</v>
      </c>
    </row>
    <row r="4">
      <c r="A4" s="2" t="s">
        <v>626</v>
      </c>
      <c r="B4" s="2" t="s">
        <v>67</v>
      </c>
      <c r="C4" s="2" t="s">
        <v>14</v>
      </c>
      <c r="D4" s="3" t="s">
        <v>15</v>
      </c>
      <c r="E4" s="4">
        <v>1.0</v>
      </c>
      <c r="F4" s="3" t="s">
        <v>623</v>
      </c>
      <c r="G4" s="2" t="s">
        <v>66</v>
      </c>
      <c r="H4" s="3" t="s">
        <v>54</v>
      </c>
      <c r="I4" s="3" t="s">
        <v>520</v>
      </c>
      <c r="J4" s="3" t="s">
        <v>627</v>
      </c>
    </row>
    <row r="5">
      <c r="A5" s="2" t="s">
        <v>628</v>
      </c>
      <c r="B5" s="2" t="s">
        <v>72</v>
      </c>
      <c r="C5" s="2" t="s">
        <v>19</v>
      </c>
      <c r="D5" s="2" t="s">
        <v>629</v>
      </c>
      <c r="E5" s="4">
        <v>10.0</v>
      </c>
      <c r="F5" s="3" t="s">
        <v>623</v>
      </c>
      <c r="G5" s="2" t="s">
        <v>50</v>
      </c>
      <c r="H5" s="3" t="s">
        <v>54</v>
      </c>
      <c r="I5" s="3" t="s">
        <v>516</v>
      </c>
      <c r="J5" s="3" t="s">
        <v>624</v>
      </c>
    </row>
    <row r="6">
      <c r="A6" s="2" t="s">
        <v>630</v>
      </c>
      <c r="B6" s="2" t="s">
        <v>72</v>
      </c>
      <c r="C6" s="2" t="s">
        <v>19</v>
      </c>
      <c r="D6" s="2" t="s">
        <v>631</v>
      </c>
      <c r="E6" s="4">
        <v>1.0</v>
      </c>
      <c r="F6" s="3" t="s">
        <v>623</v>
      </c>
      <c r="G6" s="2" t="s">
        <v>75</v>
      </c>
      <c r="H6" s="3" t="s">
        <v>77</v>
      </c>
      <c r="I6" s="3" t="s">
        <v>524</v>
      </c>
      <c r="J6" s="3" t="s">
        <v>624</v>
      </c>
    </row>
    <row r="7">
      <c r="A7" s="2" t="s">
        <v>632</v>
      </c>
      <c r="B7" s="2" t="s">
        <v>72</v>
      </c>
      <c r="C7" s="2" t="s">
        <v>23</v>
      </c>
      <c r="D7" s="3" t="s">
        <v>24</v>
      </c>
      <c r="E7" s="4">
        <v>3.0</v>
      </c>
      <c r="F7" s="3" t="s">
        <v>623</v>
      </c>
      <c r="G7" s="2" t="s">
        <v>71</v>
      </c>
      <c r="H7" s="3" t="s">
        <v>59</v>
      </c>
      <c r="I7" s="3" t="s">
        <v>520</v>
      </c>
      <c r="J7" s="3" t="s">
        <v>627</v>
      </c>
    </row>
    <row r="8">
      <c r="A8" s="2" t="s">
        <v>633</v>
      </c>
      <c r="B8" s="2" t="s">
        <v>94</v>
      </c>
      <c r="C8" s="2" t="s">
        <v>19</v>
      </c>
      <c r="D8" s="2" t="s">
        <v>634</v>
      </c>
      <c r="E8" s="4">
        <v>2.0</v>
      </c>
      <c r="F8" s="3" t="s">
        <v>623</v>
      </c>
      <c r="G8" s="2" t="s">
        <v>90</v>
      </c>
      <c r="H8" s="3" t="s">
        <v>77</v>
      </c>
      <c r="I8" s="3" t="s">
        <v>524</v>
      </c>
      <c r="J8" s="3" t="s">
        <v>65</v>
      </c>
    </row>
    <row r="9">
      <c r="A9" s="2" t="s">
        <v>635</v>
      </c>
      <c r="B9" s="2" t="s">
        <v>94</v>
      </c>
      <c r="C9" s="2" t="s">
        <v>30</v>
      </c>
      <c r="D9" s="3" t="s">
        <v>636</v>
      </c>
      <c r="E9" s="4">
        <v>2.0</v>
      </c>
      <c r="F9" s="3" t="s">
        <v>623</v>
      </c>
      <c r="G9" s="2" t="s">
        <v>96</v>
      </c>
      <c r="H9" s="3" t="s">
        <v>81</v>
      </c>
      <c r="I9" s="3" t="s">
        <v>520</v>
      </c>
      <c r="J9" s="3" t="s">
        <v>65</v>
      </c>
    </row>
    <row r="10">
      <c r="A10" s="2" t="s">
        <v>637</v>
      </c>
      <c r="B10" s="2" t="s">
        <v>99</v>
      </c>
      <c r="C10" s="2" t="s">
        <v>16</v>
      </c>
      <c r="D10" s="2" t="s">
        <v>638</v>
      </c>
      <c r="E10" s="4">
        <v>5.0</v>
      </c>
      <c r="F10" s="3" t="s">
        <v>623</v>
      </c>
      <c r="G10" s="2" t="s">
        <v>83</v>
      </c>
      <c r="H10" s="3" t="s">
        <v>87</v>
      </c>
      <c r="I10" s="3" t="s">
        <v>524</v>
      </c>
      <c r="J10" s="3" t="s">
        <v>624</v>
      </c>
    </row>
    <row r="11">
      <c r="A11" s="2" t="s">
        <v>639</v>
      </c>
      <c r="B11" s="2" t="s">
        <v>99</v>
      </c>
      <c r="C11" s="2" t="s">
        <v>12</v>
      </c>
      <c r="D11" s="3" t="s">
        <v>13</v>
      </c>
      <c r="E11" s="4">
        <v>1.0</v>
      </c>
      <c r="F11" s="3" t="s">
        <v>623</v>
      </c>
      <c r="G11" s="2" t="s">
        <v>93</v>
      </c>
      <c r="H11" s="3" t="s">
        <v>59</v>
      </c>
      <c r="I11" s="3" t="s">
        <v>520</v>
      </c>
      <c r="J11" s="3" t="s">
        <v>65</v>
      </c>
    </row>
    <row r="12">
      <c r="A12" s="2" t="s">
        <v>640</v>
      </c>
      <c r="B12" s="2" t="s">
        <v>107</v>
      </c>
      <c r="C12" s="2" t="s">
        <v>8</v>
      </c>
      <c r="D12" s="3" t="s">
        <v>641</v>
      </c>
      <c r="E12" s="4">
        <v>1.0</v>
      </c>
      <c r="F12" s="3" t="s">
        <v>623</v>
      </c>
      <c r="G12" s="2" t="s">
        <v>98</v>
      </c>
      <c r="H12" s="3" t="s">
        <v>101</v>
      </c>
      <c r="I12" s="3" t="s">
        <v>516</v>
      </c>
      <c r="J12" s="3" t="s">
        <v>65</v>
      </c>
    </row>
    <row r="13">
      <c r="A13" s="2" t="s">
        <v>642</v>
      </c>
      <c r="B13" s="2" t="s">
        <v>107</v>
      </c>
      <c r="C13" s="2" t="s">
        <v>30</v>
      </c>
      <c r="D13" s="3" t="s">
        <v>643</v>
      </c>
      <c r="E13" s="4">
        <v>10.0</v>
      </c>
      <c r="F13" s="3" t="s">
        <v>623</v>
      </c>
      <c r="G13" s="2" t="s">
        <v>102</v>
      </c>
      <c r="H13" s="3" t="s">
        <v>104</v>
      </c>
      <c r="I13" s="3" t="s">
        <v>520</v>
      </c>
      <c r="J13" s="3" t="s">
        <v>627</v>
      </c>
    </row>
    <row r="14">
      <c r="A14" s="2" t="s">
        <v>644</v>
      </c>
      <c r="B14" s="2" t="s">
        <v>109</v>
      </c>
      <c r="C14" s="2" t="s">
        <v>34</v>
      </c>
      <c r="D14" s="3" t="s">
        <v>35</v>
      </c>
      <c r="E14" s="4">
        <v>1.0</v>
      </c>
      <c r="F14" s="3" t="s">
        <v>623</v>
      </c>
      <c r="G14" s="2" t="s">
        <v>106</v>
      </c>
      <c r="H14" s="3" t="s">
        <v>81</v>
      </c>
      <c r="I14" s="3" t="s">
        <v>524</v>
      </c>
      <c r="J14" s="3" t="s">
        <v>627</v>
      </c>
    </row>
    <row r="15">
      <c r="A15" s="2" t="s">
        <v>645</v>
      </c>
      <c r="B15" s="2" t="s">
        <v>111</v>
      </c>
      <c r="C15" s="2" t="s">
        <v>23</v>
      </c>
      <c r="D15" s="3" t="s">
        <v>24</v>
      </c>
      <c r="E15" s="4">
        <v>2.0</v>
      </c>
      <c r="F15" s="3" t="s">
        <v>623</v>
      </c>
      <c r="G15" s="2" t="s">
        <v>112</v>
      </c>
      <c r="H15" s="3" t="s">
        <v>114</v>
      </c>
      <c r="I15" s="3" t="s">
        <v>516</v>
      </c>
      <c r="J15" s="3" t="s">
        <v>624</v>
      </c>
    </row>
    <row r="16">
      <c r="A16" s="2" t="s">
        <v>646</v>
      </c>
      <c r="B16" s="2" t="s">
        <v>111</v>
      </c>
      <c r="C16" s="2" t="s">
        <v>30</v>
      </c>
      <c r="D16" s="3" t="s">
        <v>647</v>
      </c>
      <c r="E16" s="4">
        <v>3.0</v>
      </c>
      <c r="F16" s="3" t="s">
        <v>623</v>
      </c>
      <c r="G16" s="2" t="s">
        <v>121</v>
      </c>
      <c r="H16" s="3" t="s">
        <v>81</v>
      </c>
      <c r="I16" s="3" t="s">
        <v>520</v>
      </c>
      <c r="J16" s="3" t="s">
        <v>624</v>
      </c>
    </row>
    <row r="17">
      <c r="A17" s="2" t="s">
        <v>648</v>
      </c>
      <c r="B17" s="2" t="s">
        <v>111</v>
      </c>
      <c r="C17" s="2" t="s">
        <v>23</v>
      </c>
      <c r="D17" s="3" t="s">
        <v>24</v>
      </c>
      <c r="E17" s="4">
        <v>1.0</v>
      </c>
      <c r="F17" s="3" t="s">
        <v>623</v>
      </c>
      <c r="G17" s="2" t="s">
        <v>116</v>
      </c>
      <c r="H17" s="3" t="s">
        <v>54</v>
      </c>
      <c r="I17" s="3" t="s">
        <v>524</v>
      </c>
      <c r="J17" s="3" t="s">
        <v>627</v>
      </c>
    </row>
    <row r="18">
      <c r="A18" s="2" t="s">
        <v>649</v>
      </c>
      <c r="B18" s="2" t="s">
        <v>111</v>
      </c>
      <c r="C18" s="2" t="s">
        <v>38</v>
      </c>
      <c r="D18" s="3" t="s">
        <v>39</v>
      </c>
      <c r="E18" s="4">
        <v>1.0</v>
      </c>
      <c r="F18" s="3" t="s">
        <v>650</v>
      </c>
      <c r="G18" s="2" t="s">
        <v>651</v>
      </c>
      <c r="H18" s="3" t="s">
        <v>104</v>
      </c>
      <c r="I18" s="3" t="s">
        <v>524</v>
      </c>
      <c r="J18" s="3" t="s">
        <v>627</v>
      </c>
    </row>
    <row r="19">
      <c r="A19" s="2" t="s">
        <v>652</v>
      </c>
      <c r="B19" s="2" t="s">
        <v>129</v>
      </c>
      <c r="C19" s="2" t="s">
        <v>23</v>
      </c>
      <c r="D19" s="3" t="s">
        <v>24</v>
      </c>
      <c r="E19" s="4">
        <v>1.0</v>
      </c>
      <c r="F19" s="3" t="s">
        <v>623</v>
      </c>
      <c r="G19" s="2" t="s">
        <v>108</v>
      </c>
      <c r="H19" s="3" t="s">
        <v>101</v>
      </c>
      <c r="I19" s="3" t="s">
        <v>520</v>
      </c>
      <c r="J19" s="3" t="s">
        <v>624</v>
      </c>
    </row>
    <row r="20">
      <c r="A20" s="2" t="s">
        <v>653</v>
      </c>
      <c r="B20" s="2" t="s">
        <v>129</v>
      </c>
      <c r="C20" s="2" t="s">
        <v>19</v>
      </c>
      <c r="D20" s="2" t="s">
        <v>654</v>
      </c>
      <c r="E20" s="4">
        <v>2.0</v>
      </c>
      <c r="F20" s="3" t="s">
        <v>623</v>
      </c>
      <c r="G20" s="2" t="s">
        <v>123</v>
      </c>
      <c r="H20" s="3" t="s">
        <v>77</v>
      </c>
      <c r="I20" s="3" t="s">
        <v>524</v>
      </c>
      <c r="J20" s="3" t="s">
        <v>627</v>
      </c>
    </row>
    <row r="21" ht="15.75" customHeight="1">
      <c r="A21" s="2" t="s">
        <v>655</v>
      </c>
      <c r="B21" s="2" t="s">
        <v>132</v>
      </c>
      <c r="C21" s="2" t="s">
        <v>27</v>
      </c>
      <c r="D21" s="3" t="s">
        <v>656</v>
      </c>
      <c r="E21" s="4">
        <v>1.0</v>
      </c>
      <c r="F21" s="3" t="s">
        <v>623</v>
      </c>
      <c r="G21" s="2" t="s">
        <v>131</v>
      </c>
      <c r="H21" s="3" t="s">
        <v>81</v>
      </c>
      <c r="I21" s="3" t="s">
        <v>516</v>
      </c>
      <c r="J21" s="3" t="s">
        <v>65</v>
      </c>
    </row>
    <row r="22" ht="15.75" customHeight="1">
      <c r="A22" s="2" t="s">
        <v>657</v>
      </c>
      <c r="B22" s="2" t="s">
        <v>132</v>
      </c>
      <c r="C22" s="2" t="s">
        <v>30</v>
      </c>
      <c r="D22" s="3" t="s">
        <v>658</v>
      </c>
      <c r="E22" s="4">
        <v>1.0</v>
      </c>
      <c r="F22" s="3" t="s">
        <v>623</v>
      </c>
      <c r="G22" s="2" t="s">
        <v>125</v>
      </c>
      <c r="H22" s="3" t="s">
        <v>59</v>
      </c>
      <c r="I22" s="3" t="s">
        <v>524</v>
      </c>
      <c r="J22" s="3" t="s">
        <v>624</v>
      </c>
    </row>
    <row r="23" ht="15.75" customHeight="1">
      <c r="A23" s="2" t="s">
        <v>659</v>
      </c>
      <c r="B23" s="2" t="s">
        <v>132</v>
      </c>
      <c r="C23" s="2" t="s">
        <v>23</v>
      </c>
      <c r="D23" s="3" t="s">
        <v>24</v>
      </c>
      <c r="E23" s="4">
        <v>10.0</v>
      </c>
      <c r="F23" s="3" t="s">
        <v>623</v>
      </c>
      <c r="G23" s="2" t="s">
        <v>128</v>
      </c>
      <c r="H23" s="3" t="s">
        <v>114</v>
      </c>
      <c r="I23" s="3" t="s">
        <v>516</v>
      </c>
      <c r="J23" s="3" t="s">
        <v>624</v>
      </c>
    </row>
    <row r="24" ht="15.75" customHeight="1">
      <c r="A24" s="2" t="s">
        <v>660</v>
      </c>
      <c r="B24" s="2" t="s">
        <v>132</v>
      </c>
      <c r="C24" s="2" t="s">
        <v>23</v>
      </c>
      <c r="D24" s="3" t="s">
        <v>24</v>
      </c>
      <c r="E24" s="4">
        <v>1.0</v>
      </c>
      <c r="F24" s="3" t="s">
        <v>623</v>
      </c>
      <c r="G24" s="2" t="s">
        <v>127</v>
      </c>
      <c r="H24" s="3" t="s">
        <v>104</v>
      </c>
      <c r="I24" s="3" t="s">
        <v>524</v>
      </c>
      <c r="J24" s="3" t="s">
        <v>65</v>
      </c>
    </row>
    <row r="25" ht="15.75" customHeight="1">
      <c r="A25" s="2" t="s">
        <v>661</v>
      </c>
      <c r="B25" s="2" t="s">
        <v>132</v>
      </c>
      <c r="C25" s="2" t="s">
        <v>16</v>
      </c>
      <c r="D25" s="2" t="s">
        <v>662</v>
      </c>
      <c r="E25" s="4">
        <v>2.0</v>
      </c>
      <c r="F25" s="3" t="s">
        <v>623</v>
      </c>
      <c r="G25" s="2" t="s">
        <v>118</v>
      </c>
      <c r="H25" s="3" t="s">
        <v>77</v>
      </c>
      <c r="I25" s="3" t="s">
        <v>524</v>
      </c>
      <c r="J25" s="3" t="s">
        <v>65</v>
      </c>
    </row>
    <row r="26" ht="15.75" customHeight="1">
      <c r="A26" s="2" t="s">
        <v>663</v>
      </c>
      <c r="B26" s="2" t="s">
        <v>132</v>
      </c>
      <c r="C26" s="2" t="s">
        <v>23</v>
      </c>
      <c r="D26" s="3" t="s">
        <v>24</v>
      </c>
      <c r="E26" s="4">
        <v>1.0</v>
      </c>
      <c r="F26" s="3" t="s">
        <v>623</v>
      </c>
      <c r="G26" s="2" t="s">
        <v>110</v>
      </c>
      <c r="H26" s="3" t="s">
        <v>81</v>
      </c>
      <c r="I26" s="3" t="s">
        <v>520</v>
      </c>
      <c r="J26" s="3" t="s">
        <v>627</v>
      </c>
    </row>
    <row r="27" ht="15.75" customHeight="1">
      <c r="A27" s="2" t="s">
        <v>664</v>
      </c>
      <c r="B27" s="2" t="s">
        <v>132</v>
      </c>
      <c r="C27" s="2" t="s">
        <v>27</v>
      </c>
      <c r="D27" s="3" t="s">
        <v>665</v>
      </c>
      <c r="E27" s="4">
        <v>1.0</v>
      </c>
      <c r="F27" s="3" t="s">
        <v>623</v>
      </c>
      <c r="G27" s="2" t="s">
        <v>134</v>
      </c>
      <c r="H27" s="3" t="s">
        <v>104</v>
      </c>
      <c r="I27" s="3" t="s">
        <v>524</v>
      </c>
      <c r="J27" s="3" t="s">
        <v>627</v>
      </c>
    </row>
    <row r="28" ht="15.75" customHeight="1">
      <c r="A28" s="2" t="s">
        <v>666</v>
      </c>
      <c r="B28" s="2" t="s">
        <v>144</v>
      </c>
      <c r="C28" s="2" t="s">
        <v>19</v>
      </c>
      <c r="D28" s="2" t="s">
        <v>667</v>
      </c>
      <c r="E28" s="4">
        <v>1.0</v>
      </c>
      <c r="F28" s="3" t="s">
        <v>623</v>
      </c>
      <c r="G28" s="2" t="s">
        <v>136</v>
      </c>
      <c r="H28" s="3" t="s">
        <v>101</v>
      </c>
      <c r="I28" s="3" t="s">
        <v>516</v>
      </c>
      <c r="J28" s="3" t="s">
        <v>627</v>
      </c>
    </row>
    <row r="29" ht="15.75" customHeight="1">
      <c r="A29" s="2" t="s">
        <v>668</v>
      </c>
      <c r="B29" s="2" t="s">
        <v>144</v>
      </c>
      <c r="C29" s="2" t="s">
        <v>38</v>
      </c>
      <c r="D29" s="3" t="s">
        <v>39</v>
      </c>
      <c r="E29" s="4">
        <v>10.0</v>
      </c>
      <c r="F29" s="3" t="s">
        <v>623</v>
      </c>
      <c r="G29" s="2" t="s">
        <v>138</v>
      </c>
      <c r="H29" s="3" t="s">
        <v>77</v>
      </c>
      <c r="I29" s="3" t="s">
        <v>524</v>
      </c>
      <c r="J29" s="3" t="s">
        <v>627</v>
      </c>
    </row>
    <row r="30" ht="15.75" customHeight="1">
      <c r="A30" s="2" t="s">
        <v>669</v>
      </c>
      <c r="B30" s="2" t="s">
        <v>144</v>
      </c>
      <c r="C30" s="2" t="s">
        <v>27</v>
      </c>
      <c r="D30" s="3" t="s">
        <v>670</v>
      </c>
      <c r="E30" s="4">
        <v>1.0</v>
      </c>
      <c r="F30" s="3" t="s">
        <v>623</v>
      </c>
      <c r="G30" s="2" t="s">
        <v>143</v>
      </c>
      <c r="H30" s="3" t="s">
        <v>104</v>
      </c>
      <c r="I30" s="3" t="s">
        <v>520</v>
      </c>
      <c r="J30" s="3" t="s">
        <v>624</v>
      </c>
    </row>
    <row r="31" ht="15.75" customHeight="1">
      <c r="A31" s="2" t="s">
        <v>671</v>
      </c>
      <c r="B31" s="2" t="s">
        <v>144</v>
      </c>
      <c r="C31" s="2" t="s">
        <v>30</v>
      </c>
      <c r="D31" s="3" t="s">
        <v>672</v>
      </c>
      <c r="E31" s="4">
        <v>5.0</v>
      </c>
      <c r="F31" s="3" t="s">
        <v>673</v>
      </c>
      <c r="G31" s="2" t="s">
        <v>651</v>
      </c>
      <c r="H31" s="3" t="s">
        <v>54</v>
      </c>
      <c r="I31" s="3" t="s">
        <v>524</v>
      </c>
      <c r="J31" s="3" t="s">
        <v>65</v>
      </c>
    </row>
    <row r="32" ht="15.75" customHeight="1">
      <c r="A32" s="2" t="s">
        <v>674</v>
      </c>
      <c r="B32" s="2" t="s">
        <v>148</v>
      </c>
      <c r="C32" s="2" t="s">
        <v>8</v>
      </c>
      <c r="D32" s="3" t="s">
        <v>675</v>
      </c>
      <c r="E32" s="4">
        <v>1.0</v>
      </c>
      <c r="F32" s="3" t="s">
        <v>673</v>
      </c>
      <c r="G32" s="2" t="s">
        <v>651</v>
      </c>
      <c r="H32" s="3" t="s">
        <v>59</v>
      </c>
      <c r="I32" s="3" t="s">
        <v>516</v>
      </c>
      <c r="J32" s="3" t="s">
        <v>624</v>
      </c>
    </row>
    <row r="33" ht="15.75" customHeight="1">
      <c r="A33" s="2" t="s">
        <v>676</v>
      </c>
      <c r="B33" s="2" t="s">
        <v>151</v>
      </c>
      <c r="C33" s="2" t="s">
        <v>8</v>
      </c>
      <c r="D33" s="3" t="s">
        <v>677</v>
      </c>
      <c r="E33" s="4">
        <v>3.0</v>
      </c>
      <c r="F33" s="3" t="s">
        <v>650</v>
      </c>
      <c r="G33" s="2" t="s">
        <v>651</v>
      </c>
      <c r="H33" s="3" t="s">
        <v>54</v>
      </c>
      <c r="I33" s="3" t="s">
        <v>516</v>
      </c>
      <c r="J33" s="3" t="s">
        <v>65</v>
      </c>
    </row>
    <row r="34" ht="15.75" customHeight="1">
      <c r="A34" s="2" t="s">
        <v>678</v>
      </c>
      <c r="B34" s="2" t="s">
        <v>157</v>
      </c>
      <c r="C34" s="2" t="s">
        <v>16</v>
      </c>
      <c r="D34" s="2" t="s">
        <v>679</v>
      </c>
      <c r="E34" s="4">
        <v>1.0</v>
      </c>
      <c r="F34" s="3" t="s">
        <v>623</v>
      </c>
      <c r="G34" s="2" t="s">
        <v>158</v>
      </c>
      <c r="H34" s="3" t="s">
        <v>104</v>
      </c>
      <c r="I34" s="3" t="s">
        <v>520</v>
      </c>
      <c r="J34" s="3" t="s">
        <v>624</v>
      </c>
    </row>
    <row r="35" ht="15.75" customHeight="1">
      <c r="A35" s="2" t="s">
        <v>680</v>
      </c>
      <c r="B35" s="2" t="s">
        <v>157</v>
      </c>
      <c r="C35" s="2" t="s">
        <v>16</v>
      </c>
      <c r="D35" s="2" t="s">
        <v>681</v>
      </c>
      <c r="E35" s="4">
        <v>1.0</v>
      </c>
      <c r="F35" s="3" t="s">
        <v>623</v>
      </c>
      <c r="G35" s="2" t="s">
        <v>147</v>
      </c>
      <c r="H35" s="3" t="s">
        <v>81</v>
      </c>
      <c r="I35" s="3" t="s">
        <v>524</v>
      </c>
      <c r="J35" s="3" t="s">
        <v>65</v>
      </c>
    </row>
    <row r="36" ht="15.75" customHeight="1">
      <c r="A36" s="2" t="s">
        <v>682</v>
      </c>
      <c r="B36" s="2" t="s">
        <v>157</v>
      </c>
      <c r="C36" s="2" t="s">
        <v>14</v>
      </c>
      <c r="D36" s="3" t="s">
        <v>15</v>
      </c>
      <c r="E36" s="4">
        <v>1.0</v>
      </c>
      <c r="F36" s="3" t="s">
        <v>623</v>
      </c>
      <c r="G36" s="2" t="s">
        <v>154</v>
      </c>
      <c r="H36" s="3" t="s">
        <v>54</v>
      </c>
      <c r="I36" s="3" t="s">
        <v>520</v>
      </c>
      <c r="J36" s="3" t="s">
        <v>65</v>
      </c>
    </row>
    <row r="37" ht="15.75" customHeight="1">
      <c r="A37" s="2" t="s">
        <v>683</v>
      </c>
      <c r="B37" s="2" t="s">
        <v>161</v>
      </c>
      <c r="C37" s="2" t="s">
        <v>12</v>
      </c>
      <c r="D37" s="3" t="s">
        <v>13</v>
      </c>
      <c r="E37" s="4">
        <v>2.0</v>
      </c>
      <c r="F37" s="3" t="s">
        <v>623</v>
      </c>
      <c r="G37" s="2" t="s">
        <v>162</v>
      </c>
      <c r="H37" s="3" t="s">
        <v>114</v>
      </c>
      <c r="I37" s="3" t="s">
        <v>524</v>
      </c>
      <c r="J37" s="3" t="s">
        <v>65</v>
      </c>
    </row>
    <row r="38" ht="15.75" customHeight="1">
      <c r="A38" s="2" t="s">
        <v>684</v>
      </c>
      <c r="B38" s="2" t="s">
        <v>161</v>
      </c>
      <c r="C38" s="2" t="s">
        <v>12</v>
      </c>
      <c r="D38" s="3" t="s">
        <v>13</v>
      </c>
      <c r="E38" s="4">
        <v>2.0</v>
      </c>
      <c r="F38" s="3" t="s">
        <v>623</v>
      </c>
      <c r="G38" s="2" t="s">
        <v>150</v>
      </c>
      <c r="H38" s="3" t="s">
        <v>114</v>
      </c>
      <c r="I38" s="3" t="s">
        <v>524</v>
      </c>
      <c r="J38" s="3" t="s">
        <v>627</v>
      </c>
    </row>
    <row r="39" ht="15.75" customHeight="1">
      <c r="A39" s="2" t="s">
        <v>685</v>
      </c>
      <c r="B39" s="2" t="s">
        <v>167</v>
      </c>
      <c r="C39" s="2" t="s">
        <v>12</v>
      </c>
      <c r="D39" s="3" t="s">
        <v>13</v>
      </c>
      <c r="E39" s="4">
        <v>1.0</v>
      </c>
      <c r="F39" s="3" t="s">
        <v>623</v>
      </c>
      <c r="G39" s="2" t="s">
        <v>169</v>
      </c>
      <c r="H39" s="3" t="s">
        <v>87</v>
      </c>
      <c r="I39" s="3" t="s">
        <v>516</v>
      </c>
      <c r="J39" s="3" t="s">
        <v>65</v>
      </c>
    </row>
    <row r="40" ht="15.75" customHeight="1">
      <c r="A40" s="2" t="s">
        <v>686</v>
      </c>
      <c r="B40" s="2" t="s">
        <v>167</v>
      </c>
      <c r="C40" s="2" t="s">
        <v>14</v>
      </c>
      <c r="D40" s="3" t="s">
        <v>15</v>
      </c>
      <c r="E40" s="4">
        <v>3.0</v>
      </c>
      <c r="F40" s="3" t="s">
        <v>623</v>
      </c>
      <c r="G40" s="2" t="s">
        <v>156</v>
      </c>
      <c r="H40" s="3" t="s">
        <v>77</v>
      </c>
      <c r="I40" s="3" t="s">
        <v>524</v>
      </c>
      <c r="J40" s="3" t="s">
        <v>65</v>
      </c>
    </row>
    <row r="41" ht="15.75" customHeight="1">
      <c r="A41" s="2" t="s">
        <v>687</v>
      </c>
      <c r="B41" s="2" t="s">
        <v>167</v>
      </c>
      <c r="C41" s="2" t="s">
        <v>34</v>
      </c>
      <c r="D41" s="3" t="s">
        <v>35</v>
      </c>
      <c r="E41" s="4">
        <v>1.0</v>
      </c>
      <c r="F41" s="3" t="s">
        <v>623</v>
      </c>
      <c r="G41" s="2" t="s">
        <v>160</v>
      </c>
      <c r="H41" s="3" t="s">
        <v>87</v>
      </c>
      <c r="I41" s="3" t="s">
        <v>516</v>
      </c>
      <c r="J41" s="3" t="s">
        <v>624</v>
      </c>
    </row>
    <row r="42" ht="15.75" customHeight="1">
      <c r="A42" s="2" t="s">
        <v>688</v>
      </c>
      <c r="B42" s="2" t="s">
        <v>172</v>
      </c>
      <c r="C42" s="2" t="s">
        <v>38</v>
      </c>
      <c r="D42" s="3" t="s">
        <v>39</v>
      </c>
      <c r="E42" s="4">
        <v>1.0</v>
      </c>
      <c r="F42" s="3" t="s">
        <v>623</v>
      </c>
      <c r="G42" s="2" t="s">
        <v>164</v>
      </c>
      <c r="H42" s="3" t="s">
        <v>81</v>
      </c>
      <c r="I42" s="3" t="s">
        <v>520</v>
      </c>
      <c r="J42" s="3" t="s">
        <v>624</v>
      </c>
    </row>
    <row r="43" ht="15.75" customHeight="1">
      <c r="A43" s="2" t="s">
        <v>689</v>
      </c>
      <c r="B43" s="2" t="s">
        <v>175</v>
      </c>
      <c r="C43" s="2" t="s">
        <v>27</v>
      </c>
      <c r="D43" s="3" t="s">
        <v>690</v>
      </c>
      <c r="E43" s="4">
        <v>1.0</v>
      </c>
      <c r="F43" s="3" t="s">
        <v>623</v>
      </c>
      <c r="G43" s="2" t="s">
        <v>171</v>
      </c>
      <c r="H43" s="3" t="s">
        <v>54</v>
      </c>
      <c r="I43" s="3" t="s">
        <v>524</v>
      </c>
      <c r="J43" s="3" t="s">
        <v>65</v>
      </c>
    </row>
    <row r="44" ht="15.75" customHeight="1">
      <c r="A44" s="2" t="s">
        <v>691</v>
      </c>
      <c r="B44" s="2" t="s">
        <v>175</v>
      </c>
      <c r="C44" s="2" t="s">
        <v>14</v>
      </c>
      <c r="D44" s="3" t="s">
        <v>15</v>
      </c>
      <c r="E44" s="4">
        <v>1.0</v>
      </c>
      <c r="F44" s="3" t="s">
        <v>623</v>
      </c>
      <c r="G44" s="2" t="s">
        <v>166</v>
      </c>
      <c r="H44" s="3" t="s">
        <v>81</v>
      </c>
      <c r="I44" s="3" t="s">
        <v>524</v>
      </c>
      <c r="J44" s="3" t="s">
        <v>627</v>
      </c>
    </row>
    <row r="45" ht="15.75" customHeight="1">
      <c r="A45" s="2" t="s">
        <v>692</v>
      </c>
      <c r="B45" s="2" t="s">
        <v>178</v>
      </c>
      <c r="C45" s="2" t="s">
        <v>8</v>
      </c>
      <c r="D45" s="3" t="s">
        <v>693</v>
      </c>
      <c r="E45" s="4">
        <v>2.0</v>
      </c>
      <c r="F45" s="3" t="s">
        <v>623</v>
      </c>
      <c r="G45" s="2" t="s">
        <v>181</v>
      </c>
      <c r="H45" s="3" t="s">
        <v>101</v>
      </c>
      <c r="I45" s="3" t="s">
        <v>524</v>
      </c>
      <c r="J45" s="3" t="s">
        <v>624</v>
      </c>
    </row>
    <row r="46" ht="15.75" customHeight="1">
      <c r="A46" s="2" t="s">
        <v>694</v>
      </c>
      <c r="B46" s="2" t="s">
        <v>178</v>
      </c>
      <c r="C46" s="2" t="s">
        <v>14</v>
      </c>
      <c r="D46" s="3" t="s">
        <v>15</v>
      </c>
      <c r="E46" s="4">
        <v>2.0</v>
      </c>
      <c r="F46" s="3" t="s">
        <v>623</v>
      </c>
      <c r="G46" s="2" t="s">
        <v>174</v>
      </c>
      <c r="H46" s="3" t="s">
        <v>87</v>
      </c>
      <c r="I46" s="3" t="s">
        <v>524</v>
      </c>
      <c r="J46" s="3" t="s">
        <v>627</v>
      </c>
    </row>
    <row r="47" ht="15.75" customHeight="1">
      <c r="A47" s="2" t="s">
        <v>695</v>
      </c>
      <c r="B47" s="2" t="s">
        <v>178</v>
      </c>
      <c r="C47" s="2" t="s">
        <v>30</v>
      </c>
      <c r="D47" s="3" t="s">
        <v>696</v>
      </c>
      <c r="E47" s="4">
        <v>5.0</v>
      </c>
      <c r="F47" s="3" t="s">
        <v>623</v>
      </c>
      <c r="G47" s="2" t="s">
        <v>183</v>
      </c>
      <c r="H47" s="3" t="s">
        <v>54</v>
      </c>
      <c r="I47" s="3" t="s">
        <v>516</v>
      </c>
      <c r="J47" s="3" t="s">
        <v>65</v>
      </c>
    </row>
    <row r="48" ht="15.75" customHeight="1">
      <c r="A48" s="2" t="s">
        <v>697</v>
      </c>
      <c r="B48" s="2" t="s">
        <v>698</v>
      </c>
      <c r="C48" s="2" t="s">
        <v>12</v>
      </c>
      <c r="D48" s="3" t="s">
        <v>13</v>
      </c>
      <c r="E48" s="4">
        <v>1.0</v>
      </c>
      <c r="F48" s="3" t="s">
        <v>623</v>
      </c>
      <c r="G48" s="2" t="s">
        <v>180</v>
      </c>
      <c r="H48" s="3" t="s">
        <v>59</v>
      </c>
      <c r="I48" s="3" t="s">
        <v>524</v>
      </c>
      <c r="J48" s="3" t="s">
        <v>65</v>
      </c>
    </row>
    <row r="49" ht="15.75" customHeight="1">
      <c r="A49" s="2" t="s">
        <v>699</v>
      </c>
      <c r="B49" s="2" t="s">
        <v>186</v>
      </c>
      <c r="C49" s="2" t="s">
        <v>27</v>
      </c>
      <c r="D49" s="3" t="s">
        <v>700</v>
      </c>
      <c r="E49" s="4">
        <v>1.0</v>
      </c>
      <c r="F49" s="3" t="s">
        <v>623</v>
      </c>
      <c r="G49" s="2" t="s">
        <v>177</v>
      </c>
      <c r="H49" s="3" t="s">
        <v>101</v>
      </c>
      <c r="I49" s="3" t="s">
        <v>516</v>
      </c>
      <c r="J49" s="3" t="s">
        <v>624</v>
      </c>
    </row>
    <row r="50" ht="15.75" customHeight="1">
      <c r="A50" s="2" t="s">
        <v>701</v>
      </c>
      <c r="B50" s="2" t="s">
        <v>186</v>
      </c>
      <c r="C50" s="2" t="s">
        <v>27</v>
      </c>
      <c r="D50" s="3" t="s">
        <v>702</v>
      </c>
      <c r="E50" s="4">
        <v>2.0</v>
      </c>
      <c r="F50" s="3" t="s">
        <v>623</v>
      </c>
      <c r="G50" s="2" t="s">
        <v>189</v>
      </c>
      <c r="H50" s="3" t="s">
        <v>77</v>
      </c>
      <c r="I50" s="3" t="s">
        <v>520</v>
      </c>
      <c r="J50" s="3" t="s">
        <v>627</v>
      </c>
    </row>
    <row r="51" ht="15.75" customHeight="1">
      <c r="A51" s="2" t="s">
        <v>703</v>
      </c>
      <c r="B51" s="2" t="s">
        <v>704</v>
      </c>
      <c r="C51" s="2" t="s">
        <v>34</v>
      </c>
      <c r="D51" s="3" t="s">
        <v>35</v>
      </c>
      <c r="E51" s="4">
        <v>2.0</v>
      </c>
      <c r="F51" s="3" t="s">
        <v>623</v>
      </c>
      <c r="G51" s="2" t="s">
        <v>185</v>
      </c>
      <c r="H51" s="3" t="s">
        <v>101</v>
      </c>
      <c r="I51" s="3" t="s">
        <v>520</v>
      </c>
      <c r="J51" s="3" t="s">
        <v>627</v>
      </c>
    </row>
    <row r="52" ht="15.75" customHeight="1">
      <c r="A52" s="2" t="s">
        <v>705</v>
      </c>
      <c r="B52" s="2" t="s">
        <v>704</v>
      </c>
      <c r="C52" s="2" t="s">
        <v>14</v>
      </c>
      <c r="D52" s="3" t="s">
        <v>15</v>
      </c>
      <c r="E52" s="4">
        <v>3.0</v>
      </c>
      <c r="F52" s="3" t="s">
        <v>623</v>
      </c>
      <c r="G52" s="2" t="s">
        <v>188</v>
      </c>
      <c r="H52" s="3" t="s">
        <v>114</v>
      </c>
      <c r="I52" s="3" t="s">
        <v>524</v>
      </c>
      <c r="J52" s="3" t="s">
        <v>624</v>
      </c>
    </row>
    <row r="53" ht="15.75" customHeight="1">
      <c r="A53" s="2" t="s">
        <v>706</v>
      </c>
      <c r="B53" s="2" t="s">
        <v>192</v>
      </c>
      <c r="C53" s="2" t="s">
        <v>38</v>
      </c>
      <c r="D53" s="3" t="s">
        <v>39</v>
      </c>
      <c r="E53" s="4">
        <v>3.0</v>
      </c>
      <c r="F53" s="3" t="s">
        <v>623</v>
      </c>
      <c r="G53" s="2" t="s">
        <v>187</v>
      </c>
      <c r="H53" s="3" t="s">
        <v>81</v>
      </c>
      <c r="I53" s="3" t="s">
        <v>516</v>
      </c>
      <c r="J53" s="3" t="s">
        <v>624</v>
      </c>
    </row>
    <row r="54" ht="15.75" customHeight="1">
      <c r="A54" s="2" t="s">
        <v>707</v>
      </c>
      <c r="B54" s="2" t="s">
        <v>195</v>
      </c>
      <c r="C54" s="2" t="s">
        <v>16</v>
      </c>
      <c r="D54" s="2" t="s">
        <v>708</v>
      </c>
      <c r="E54" s="4">
        <v>2.0</v>
      </c>
      <c r="F54" s="3" t="s">
        <v>623</v>
      </c>
      <c r="G54" s="2" t="s">
        <v>191</v>
      </c>
      <c r="H54" s="3" t="s">
        <v>101</v>
      </c>
      <c r="I54" s="3" t="s">
        <v>520</v>
      </c>
      <c r="J54" s="3" t="s">
        <v>624</v>
      </c>
    </row>
    <row r="55" ht="15.75" customHeight="1">
      <c r="A55" s="2" t="s">
        <v>709</v>
      </c>
      <c r="B55" s="2" t="s">
        <v>195</v>
      </c>
      <c r="C55" s="2" t="s">
        <v>30</v>
      </c>
      <c r="D55" s="3" t="s">
        <v>710</v>
      </c>
      <c r="E55" s="4">
        <v>1.0</v>
      </c>
      <c r="F55" s="3" t="s">
        <v>673</v>
      </c>
      <c r="G55" s="2" t="s">
        <v>651</v>
      </c>
      <c r="H55" s="3" t="s">
        <v>81</v>
      </c>
      <c r="I55" s="3" t="s">
        <v>516</v>
      </c>
      <c r="J55" s="3" t="s">
        <v>624</v>
      </c>
    </row>
    <row r="56" ht="15.75" customHeight="1">
      <c r="A56" s="2" t="s">
        <v>711</v>
      </c>
      <c r="B56" s="2" t="s">
        <v>547</v>
      </c>
      <c r="C56" s="2" t="s">
        <v>30</v>
      </c>
      <c r="D56" s="3" t="s">
        <v>712</v>
      </c>
      <c r="E56" s="4">
        <v>3.0</v>
      </c>
      <c r="F56" s="3" t="s">
        <v>650</v>
      </c>
      <c r="G56" s="2" t="s">
        <v>651</v>
      </c>
      <c r="H56" s="3" t="s">
        <v>54</v>
      </c>
      <c r="I56" s="3" t="s">
        <v>524</v>
      </c>
      <c r="J56" s="3" t="s">
        <v>624</v>
      </c>
    </row>
    <row r="57" ht="15.75" customHeight="1">
      <c r="A57" s="2" t="s">
        <v>713</v>
      </c>
      <c r="B57" s="2" t="s">
        <v>714</v>
      </c>
      <c r="C57" s="2" t="s">
        <v>30</v>
      </c>
      <c r="D57" s="3" t="s">
        <v>715</v>
      </c>
      <c r="E57" s="4">
        <v>1.0</v>
      </c>
      <c r="F57" s="3" t="s">
        <v>623</v>
      </c>
      <c r="G57" s="2" t="s">
        <v>197</v>
      </c>
      <c r="H57" s="3" t="s">
        <v>114</v>
      </c>
      <c r="I57" s="3" t="s">
        <v>516</v>
      </c>
      <c r="J57" s="3" t="s">
        <v>627</v>
      </c>
    </row>
    <row r="58" ht="15.75" customHeight="1">
      <c r="A58" s="2" t="s">
        <v>716</v>
      </c>
      <c r="B58" s="2" t="s">
        <v>205</v>
      </c>
      <c r="C58" s="2" t="s">
        <v>23</v>
      </c>
      <c r="D58" s="3" t="s">
        <v>24</v>
      </c>
      <c r="E58" s="4">
        <v>3.0</v>
      </c>
      <c r="F58" s="3" t="s">
        <v>623</v>
      </c>
      <c r="G58" s="2" t="s">
        <v>208</v>
      </c>
      <c r="H58" s="3" t="s">
        <v>54</v>
      </c>
      <c r="I58" s="3" t="s">
        <v>520</v>
      </c>
      <c r="J58" s="3" t="s">
        <v>627</v>
      </c>
    </row>
    <row r="59" ht="15.75" customHeight="1">
      <c r="A59" s="2" t="s">
        <v>717</v>
      </c>
      <c r="B59" s="2" t="s">
        <v>205</v>
      </c>
      <c r="C59" s="2" t="s">
        <v>23</v>
      </c>
      <c r="D59" s="3" t="s">
        <v>24</v>
      </c>
      <c r="E59" s="4">
        <v>1.0</v>
      </c>
      <c r="F59" s="3" t="s">
        <v>623</v>
      </c>
      <c r="G59" s="2" t="s">
        <v>207</v>
      </c>
      <c r="H59" s="3" t="s">
        <v>104</v>
      </c>
      <c r="I59" s="3" t="s">
        <v>524</v>
      </c>
      <c r="J59" s="3" t="s">
        <v>65</v>
      </c>
    </row>
    <row r="60" ht="15.75" customHeight="1">
      <c r="A60" s="2" t="s">
        <v>718</v>
      </c>
      <c r="B60" s="2" t="s">
        <v>205</v>
      </c>
      <c r="C60" s="2" t="s">
        <v>23</v>
      </c>
      <c r="D60" s="3" t="s">
        <v>24</v>
      </c>
      <c r="E60" s="4">
        <v>5.0</v>
      </c>
      <c r="F60" s="3" t="s">
        <v>623</v>
      </c>
      <c r="G60" s="2" t="s">
        <v>203</v>
      </c>
      <c r="H60" s="3" t="s">
        <v>77</v>
      </c>
      <c r="I60" s="3" t="s">
        <v>520</v>
      </c>
      <c r="J60" s="3" t="s">
        <v>624</v>
      </c>
    </row>
    <row r="61" ht="15.75" customHeight="1">
      <c r="A61" s="2" t="s">
        <v>719</v>
      </c>
      <c r="B61" s="2" t="s">
        <v>205</v>
      </c>
      <c r="C61" s="2" t="s">
        <v>23</v>
      </c>
      <c r="D61" s="3" t="s">
        <v>24</v>
      </c>
      <c r="E61" s="4">
        <v>1.0</v>
      </c>
      <c r="F61" s="3" t="s">
        <v>623</v>
      </c>
      <c r="G61" s="2" t="s">
        <v>204</v>
      </c>
      <c r="H61" s="3" t="s">
        <v>77</v>
      </c>
      <c r="I61" s="3" t="s">
        <v>520</v>
      </c>
      <c r="J61" s="3" t="s">
        <v>65</v>
      </c>
    </row>
    <row r="62" ht="15.75" customHeight="1">
      <c r="A62" s="2" t="s">
        <v>720</v>
      </c>
      <c r="B62" s="2" t="s">
        <v>211</v>
      </c>
      <c r="C62" s="2" t="s">
        <v>14</v>
      </c>
      <c r="D62" s="3" t="s">
        <v>15</v>
      </c>
      <c r="E62" s="4">
        <v>1.0</v>
      </c>
      <c r="F62" s="3" t="s">
        <v>623</v>
      </c>
      <c r="G62" s="2" t="s">
        <v>200</v>
      </c>
      <c r="H62" s="3" t="s">
        <v>59</v>
      </c>
      <c r="I62" s="3" t="s">
        <v>520</v>
      </c>
      <c r="J62" s="3" t="s">
        <v>627</v>
      </c>
    </row>
    <row r="63" ht="15.75" customHeight="1">
      <c r="A63" s="2" t="s">
        <v>721</v>
      </c>
      <c r="B63" s="2" t="s">
        <v>211</v>
      </c>
      <c r="C63" s="2" t="s">
        <v>12</v>
      </c>
      <c r="D63" s="3" t="s">
        <v>13</v>
      </c>
      <c r="E63" s="4">
        <v>1.0</v>
      </c>
      <c r="F63" s="3" t="s">
        <v>623</v>
      </c>
      <c r="G63" s="2" t="s">
        <v>212</v>
      </c>
      <c r="H63" s="3" t="s">
        <v>81</v>
      </c>
      <c r="I63" s="3" t="s">
        <v>516</v>
      </c>
      <c r="J63" s="3" t="s">
        <v>627</v>
      </c>
    </row>
    <row r="64" ht="15.75" customHeight="1">
      <c r="A64" s="2" t="s">
        <v>722</v>
      </c>
      <c r="B64" s="2" t="s">
        <v>214</v>
      </c>
      <c r="C64" s="2" t="s">
        <v>19</v>
      </c>
      <c r="D64" s="2" t="s">
        <v>723</v>
      </c>
      <c r="E64" s="4">
        <v>1.0</v>
      </c>
      <c r="F64" s="3" t="s">
        <v>623</v>
      </c>
      <c r="G64" s="2" t="s">
        <v>213</v>
      </c>
      <c r="H64" s="3" t="s">
        <v>114</v>
      </c>
      <c r="I64" s="3" t="s">
        <v>520</v>
      </c>
      <c r="J64" s="3" t="s">
        <v>624</v>
      </c>
    </row>
    <row r="65" ht="15.75" customHeight="1">
      <c r="A65" s="2" t="s">
        <v>724</v>
      </c>
      <c r="B65" s="2" t="s">
        <v>214</v>
      </c>
      <c r="C65" s="2" t="s">
        <v>14</v>
      </c>
      <c r="D65" s="3" t="s">
        <v>15</v>
      </c>
      <c r="E65" s="4">
        <v>1.0</v>
      </c>
      <c r="F65" s="3" t="s">
        <v>623</v>
      </c>
      <c r="G65" s="2" t="s">
        <v>206</v>
      </c>
      <c r="H65" s="3" t="s">
        <v>114</v>
      </c>
      <c r="I65" s="3" t="s">
        <v>516</v>
      </c>
      <c r="J65" s="3" t="s">
        <v>624</v>
      </c>
    </row>
    <row r="66" ht="15.75" customHeight="1">
      <c r="A66" s="2" t="s">
        <v>725</v>
      </c>
      <c r="B66" s="2" t="s">
        <v>214</v>
      </c>
      <c r="C66" s="2" t="s">
        <v>14</v>
      </c>
      <c r="D66" s="3" t="s">
        <v>15</v>
      </c>
      <c r="E66" s="4">
        <v>1.0</v>
      </c>
      <c r="F66" s="3" t="s">
        <v>623</v>
      </c>
      <c r="G66" s="2" t="s">
        <v>210</v>
      </c>
      <c r="H66" s="3" t="s">
        <v>101</v>
      </c>
      <c r="I66" s="3" t="s">
        <v>520</v>
      </c>
      <c r="J66" s="3" t="s">
        <v>624</v>
      </c>
    </row>
    <row r="67" ht="15.75" customHeight="1">
      <c r="A67" s="2" t="s">
        <v>726</v>
      </c>
      <c r="B67" s="2" t="s">
        <v>214</v>
      </c>
      <c r="C67" s="2" t="s">
        <v>38</v>
      </c>
      <c r="D67" s="3" t="s">
        <v>39</v>
      </c>
      <c r="E67" s="4">
        <v>2.0</v>
      </c>
      <c r="F67" s="3" t="s">
        <v>623</v>
      </c>
      <c r="G67" s="2" t="s">
        <v>216</v>
      </c>
      <c r="H67" s="3" t="s">
        <v>81</v>
      </c>
      <c r="I67" s="3" t="s">
        <v>516</v>
      </c>
      <c r="J67" s="3" t="s">
        <v>624</v>
      </c>
    </row>
    <row r="68" ht="15.75" customHeight="1">
      <c r="A68" s="2" t="s">
        <v>727</v>
      </c>
      <c r="B68" s="2" t="s">
        <v>214</v>
      </c>
      <c r="C68" s="2" t="s">
        <v>34</v>
      </c>
      <c r="D68" s="3" t="s">
        <v>35</v>
      </c>
      <c r="E68" s="4">
        <v>2.0</v>
      </c>
      <c r="F68" s="3" t="s">
        <v>650</v>
      </c>
      <c r="G68" s="2" t="s">
        <v>651</v>
      </c>
      <c r="H68" s="3" t="s">
        <v>104</v>
      </c>
      <c r="I68" s="3" t="s">
        <v>524</v>
      </c>
      <c r="J68" s="3" t="s">
        <v>624</v>
      </c>
    </row>
    <row r="69" ht="15.75" customHeight="1">
      <c r="A69" s="2" t="s">
        <v>728</v>
      </c>
      <c r="B69" s="2" t="s">
        <v>220</v>
      </c>
      <c r="C69" s="2" t="s">
        <v>19</v>
      </c>
      <c r="D69" s="2" t="s">
        <v>729</v>
      </c>
      <c r="E69" s="4">
        <v>1.0</v>
      </c>
      <c r="F69" s="3" t="s">
        <v>623</v>
      </c>
      <c r="G69" s="2" t="s">
        <v>219</v>
      </c>
      <c r="H69" s="3" t="s">
        <v>81</v>
      </c>
      <c r="I69" s="3" t="s">
        <v>524</v>
      </c>
      <c r="J69" s="3" t="s">
        <v>627</v>
      </c>
    </row>
    <row r="70" ht="15.75" customHeight="1">
      <c r="A70" s="2" t="s">
        <v>730</v>
      </c>
      <c r="B70" s="2" t="s">
        <v>220</v>
      </c>
      <c r="C70" s="2" t="s">
        <v>34</v>
      </c>
      <c r="D70" s="3" t="s">
        <v>35</v>
      </c>
      <c r="E70" s="4">
        <v>3.0</v>
      </c>
      <c r="F70" s="3" t="s">
        <v>623</v>
      </c>
      <c r="G70" s="2" t="s">
        <v>218</v>
      </c>
      <c r="H70" s="3" t="s">
        <v>59</v>
      </c>
      <c r="I70" s="3" t="s">
        <v>520</v>
      </c>
      <c r="J70" s="3" t="s">
        <v>65</v>
      </c>
    </row>
    <row r="71" ht="15.75" customHeight="1">
      <c r="A71" s="2" t="s">
        <v>731</v>
      </c>
      <c r="B71" s="2" t="s">
        <v>228</v>
      </c>
      <c r="C71" s="2" t="s">
        <v>16</v>
      </c>
      <c r="D71" s="2" t="s">
        <v>732</v>
      </c>
      <c r="E71" s="4">
        <v>5.0</v>
      </c>
      <c r="F71" s="3" t="s">
        <v>623</v>
      </c>
      <c r="G71" s="2" t="s">
        <v>227</v>
      </c>
      <c r="H71" s="3" t="s">
        <v>101</v>
      </c>
      <c r="I71" s="3" t="s">
        <v>524</v>
      </c>
      <c r="J71" s="3" t="s">
        <v>627</v>
      </c>
    </row>
    <row r="72" ht="15.75" customHeight="1">
      <c r="A72" s="2" t="s">
        <v>733</v>
      </c>
      <c r="B72" s="2" t="s">
        <v>228</v>
      </c>
      <c r="C72" s="2" t="s">
        <v>14</v>
      </c>
      <c r="D72" s="3" t="s">
        <v>15</v>
      </c>
      <c r="E72" s="4">
        <v>5.0</v>
      </c>
      <c r="F72" s="3" t="s">
        <v>623</v>
      </c>
      <c r="G72" s="2" t="s">
        <v>225</v>
      </c>
      <c r="H72" s="3" t="s">
        <v>81</v>
      </c>
      <c r="I72" s="3" t="s">
        <v>520</v>
      </c>
      <c r="J72" s="3" t="s">
        <v>624</v>
      </c>
    </row>
    <row r="73" ht="15.75" customHeight="1">
      <c r="A73" s="2" t="s">
        <v>734</v>
      </c>
      <c r="B73" s="2" t="s">
        <v>233</v>
      </c>
      <c r="C73" s="2" t="s">
        <v>27</v>
      </c>
      <c r="D73" s="3" t="s">
        <v>735</v>
      </c>
      <c r="E73" s="4">
        <v>3.0</v>
      </c>
      <c r="F73" s="3" t="s">
        <v>623</v>
      </c>
      <c r="G73" s="2" t="s">
        <v>232</v>
      </c>
      <c r="H73" s="3" t="s">
        <v>77</v>
      </c>
      <c r="I73" s="3" t="s">
        <v>516</v>
      </c>
      <c r="J73" s="3" t="s">
        <v>624</v>
      </c>
    </row>
    <row r="74" ht="15.75" customHeight="1">
      <c r="A74" s="2" t="s">
        <v>736</v>
      </c>
      <c r="B74" s="2" t="s">
        <v>233</v>
      </c>
      <c r="C74" s="2" t="s">
        <v>34</v>
      </c>
      <c r="D74" s="3" t="s">
        <v>35</v>
      </c>
      <c r="E74" s="4">
        <v>1.0</v>
      </c>
      <c r="F74" s="3" t="s">
        <v>623</v>
      </c>
      <c r="G74" s="2" t="s">
        <v>230</v>
      </c>
      <c r="H74" s="3" t="s">
        <v>77</v>
      </c>
      <c r="I74" s="3" t="s">
        <v>524</v>
      </c>
      <c r="J74" s="3" t="s">
        <v>624</v>
      </c>
    </row>
    <row r="75" ht="15.75" customHeight="1">
      <c r="A75" s="2" t="s">
        <v>737</v>
      </c>
      <c r="B75" s="2" t="s">
        <v>236</v>
      </c>
      <c r="C75" s="2" t="s">
        <v>8</v>
      </c>
      <c r="D75" s="3" t="s">
        <v>738</v>
      </c>
      <c r="E75" s="4">
        <v>2.0</v>
      </c>
      <c r="F75" s="3" t="s">
        <v>623</v>
      </c>
      <c r="G75" s="2" t="s">
        <v>238</v>
      </c>
      <c r="H75" s="3" t="s">
        <v>77</v>
      </c>
      <c r="I75" s="3" t="s">
        <v>524</v>
      </c>
      <c r="J75" s="3" t="s">
        <v>624</v>
      </c>
    </row>
    <row r="76" ht="15.75" customHeight="1">
      <c r="A76" s="2" t="s">
        <v>739</v>
      </c>
      <c r="B76" s="2" t="s">
        <v>236</v>
      </c>
      <c r="C76" s="2" t="s">
        <v>14</v>
      </c>
      <c r="D76" s="3" t="s">
        <v>15</v>
      </c>
      <c r="E76" s="4">
        <v>2.0</v>
      </c>
      <c r="F76" s="3" t="s">
        <v>623</v>
      </c>
      <c r="G76" s="2" t="s">
        <v>231</v>
      </c>
      <c r="H76" s="3" t="s">
        <v>87</v>
      </c>
      <c r="I76" s="3" t="s">
        <v>524</v>
      </c>
      <c r="J76" s="3" t="s">
        <v>624</v>
      </c>
    </row>
    <row r="77" ht="15.75" customHeight="1">
      <c r="A77" s="2" t="s">
        <v>740</v>
      </c>
      <c r="B77" s="2" t="s">
        <v>236</v>
      </c>
      <c r="C77" s="2" t="s">
        <v>27</v>
      </c>
      <c r="D77" s="3" t="s">
        <v>741</v>
      </c>
      <c r="E77" s="4">
        <v>1.0</v>
      </c>
      <c r="F77" s="3" t="s">
        <v>742</v>
      </c>
      <c r="G77" s="2" t="s">
        <v>651</v>
      </c>
      <c r="H77" s="3" t="s">
        <v>104</v>
      </c>
      <c r="I77" s="3" t="s">
        <v>524</v>
      </c>
      <c r="J77" s="3" t="s">
        <v>627</v>
      </c>
    </row>
    <row r="78" ht="15.75" customHeight="1">
      <c r="A78" s="2" t="s">
        <v>743</v>
      </c>
      <c r="B78" s="2" t="s">
        <v>244</v>
      </c>
      <c r="C78" s="2" t="s">
        <v>14</v>
      </c>
      <c r="D78" s="3" t="s">
        <v>15</v>
      </c>
      <c r="E78" s="4">
        <v>3.0</v>
      </c>
      <c r="F78" s="3" t="s">
        <v>623</v>
      </c>
      <c r="G78" s="2" t="s">
        <v>243</v>
      </c>
      <c r="H78" s="3" t="s">
        <v>87</v>
      </c>
      <c r="I78" s="3" t="s">
        <v>520</v>
      </c>
      <c r="J78" s="3" t="s">
        <v>627</v>
      </c>
    </row>
    <row r="79" ht="15.75" customHeight="1">
      <c r="A79" s="2" t="s">
        <v>744</v>
      </c>
      <c r="B79" s="2" t="s">
        <v>246</v>
      </c>
      <c r="C79" s="2" t="s">
        <v>16</v>
      </c>
      <c r="D79" s="2" t="s">
        <v>745</v>
      </c>
      <c r="E79" s="4">
        <v>3.0</v>
      </c>
      <c r="F79" s="3" t="s">
        <v>623</v>
      </c>
      <c r="G79" s="2" t="s">
        <v>235</v>
      </c>
      <c r="H79" s="3" t="s">
        <v>77</v>
      </c>
      <c r="I79" s="3" t="s">
        <v>516</v>
      </c>
      <c r="J79" s="3" t="s">
        <v>65</v>
      </c>
    </row>
    <row r="80" ht="15.75" customHeight="1">
      <c r="A80" s="2" t="s">
        <v>746</v>
      </c>
      <c r="B80" s="2" t="s">
        <v>246</v>
      </c>
      <c r="C80" s="2" t="s">
        <v>30</v>
      </c>
      <c r="D80" s="3" t="s">
        <v>747</v>
      </c>
      <c r="E80" s="4">
        <v>1.0</v>
      </c>
      <c r="F80" s="3" t="s">
        <v>623</v>
      </c>
      <c r="G80" s="2" t="s">
        <v>249</v>
      </c>
      <c r="H80" s="3" t="s">
        <v>54</v>
      </c>
      <c r="I80" s="3" t="s">
        <v>516</v>
      </c>
      <c r="J80" s="3" t="s">
        <v>627</v>
      </c>
    </row>
    <row r="81" ht="15.75" customHeight="1">
      <c r="A81" s="2" t="s">
        <v>748</v>
      </c>
      <c r="B81" s="2" t="s">
        <v>259</v>
      </c>
      <c r="C81" s="2" t="s">
        <v>16</v>
      </c>
      <c r="D81" s="2" t="s">
        <v>749</v>
      </c>
      <c r="E81" s="4">
        <v>1.0</v>
      </c>
      <c r="F81" s="3" t="s">
        <v>623</v>
      </c>
      <c r="G81" s="2" t="s">
        <v>253</v>
      </c>
      <c r="H81" s="3" t="s">
        <v>81</v>
      </c>
      <c r="I81" s="3" t="s">
        <v>524</v>
      </c>
      <c r="J81" s="3" t="s">
        <v>627</v>
      </c>
    </row>
    <row r="82" ht="15.75" customHeight="1">
      <c r="A82" s="2" t="s">
        <v>750</v>
      </c>
      <c r="B82" s="2" t="s">
        <v>259</v>
      </c>
      <c r="C82" s="2" t="s">
        <v>27</v>
      </c>
      <c r="D82" s="3" t="s">
        <v>751</v>
      </c>
      <c r="E82" s="4">
        <v>2.0</v>
      </c>
      <c r="F82" s="3" t="s">
        <v>623</v>
      </c>
      <c r="G82" s="2" t="s">
        <v>251</v>
      </c>
      <c r="H82" s="3" t="s">
        <v>54</v>
      </c>
      <c r="I82" s="3" t="s">
        <v>524</v>
      </c>
      <c r="J82" s="3" t="s">
        <v>624</v>
      </c>
    </row>
    <row r="83" ht="15.75" customHeight="1">
      <c r="A83" s="2" t="s">
        <v>752</v>
      </c>
      <c r="B83" s="2" t="s">
        <v>263</v>
      </c>
      <c r="C83" s="2" t="s">
        <v>23</v>
      </c>
      <c r="D83" s="3" t="s">
        <v>24</v>
      </c>
      <c r="E83" s="4">
        <v>1.0</v>
      </c>
      <c r="F83" s="3" t="s">
        <v>623</v>
      </c>
      <c r="G83" s="2" t="s">
        <v>258</v>
      </c>
      <c r="H83" s="3" t="s">
        <v>87</v>
      </c>
      <c r="I83" s="3" t="s">
        <v>524</v>
      </c>
      <c r="J83" s="3" t="s">
        <v>627</v>
      </c>
    </row>
    <row r="84" ht="15.75" customHeight="1">
      <c r="A84" s="2" t="s">
        <v>753</v>
      </c>
      <c r="B84" s="2" t="s">
        <v>263</v>
      </c>
      <c r="C84" s="2" t="s">
        <v>27</v>
      </c>
      <c r="D84" s="3" t="s">
        <v>754</v>
      </c>
      <c r="E84" s="4">
        <v>10.0</v>
      </c>
      <c r="F84" s="3" t="s">
        <v>623</v>
      </c>
      <c r="G84" s="2" t="s">
        <v>256</v>
      </c>
      <c r="H84" s="3" t="s">
        <v>87</v>
      </c>
      <c r="I84" s="3" t="s">
        <v>524</v>
      </c>
      <c r="J84" s="3" t="s">
        <v>65</v>
      </c>
    </row>
    <row r="85" ht="15.75" customHeight="1">
      <c r="A85" s="2" t="s">
        <v>755</v>
      </c>
      <c r="B85" s="2" t="s">
        <v>263</v>
      </c>
      <c r="C85" s="2" t="s">
        <v>19</v>
      </c>
      <c r="D85" s="2" t="s">
        <v>756</v>
      </c>
      <c r="E85" s="4">
        <v>1.0</v>
      </c>
      <c r="F85" s="3" t="s">
        <v>623</v>
      </c>
      <c r="G85" s="2" t="s">
        <v>260</v>
      </c>
      <c r="H85" s="3" t="s">
        <v>81</v>
      </c>
      <c r="I85" s="3" t="s">
        <v>520</v>
      </c>
      <c r="J85" s="3" t="s">
        <v>624</v>
      </c>
    </row>
    <row r="86" ht="15.75" customHeight="1">
      <c r="A86" s="2" t="s">
        <v>757</v>
      </c>
      <c r="B86" s="2" t="s">
        <v>268</v>
      </c>
      <c r="C86" s="2" t="s">
        <v>19</v>
      </c>
      <c r="D86" s="2" t="s">
        <v>758</v>
      </c>
      <c r="E86" s="4">
        <v>2.0</v>
      </c>
      <c r="F86" s="3" t="s">
        <v>623</v>
      </c>
      <c r="G86" s="2" t="s">
        <v>262</v>
      </c>
      <c r="H86" s="3" t="s">
        <v>101</v>
      </c>
      <c r="I86" s="3" t="s">
        <v>520</v>
      </c>
      <c r="J86" s="3" t="s">
        <v>65</v>
      </c>
    </row>
    <row r="87" ht="15.75" customHeight="1">
      <c r="A87" s="2" t="s">
        <v>759</v>
      </c>
      <c r="B87" s="2" t="s">
        <v>268</v>
      </c>
      <c r="C87" s="2" t="s">
        <v>19</v>
      </c>
      <c r="D87" s="2" t="s">
        <v>760</v>
      </c>
      <c r="E87" s="4">
        <v>1.0</v>
      </c>
      <c r="F87" s="3" t="s">
        <v>623</v>
      </c>
      <c r="G87" s="2" t="s">
        <v>265</v>
      </c>
      <c r="H87" s="3" t="s">
        <v>104</v>
      </c>
      <c r="I87" s="3" t="s">
        <v>520</v>
      </c>
      <c r="J87" s="3" t="s">
        <v>65</v>
      </c>
    </row>
    <row r="88" ht="15.75" customHeight="1">
      <c r="A88" s="2" t="s">
        <v>761</v>
      </c>
      <c r="B88" s="2" t="s">
        <v>268</v>
      </c>
      <c r="C88" s="2" t="s">
        <v>30</v>
      </c>
      <c r="D88" s="3" t="s">
        <v>762</v>
      </c>
      <c r="E88" s="4">
        <v>2.0</v>
      </c>
      <c r="F88" s="3" t="s">
        <v>650</v>
      </c>
      <c r="G88" s="2" t="s">
        <v>651</v>
      </c>
      <c r="H88" s="3" t="s">
        <v>81</v>
      </c>
      <c r="I88" s="3" t="s">
        <v>524</v>
      </c>
      <c r="J88" s="3" t="s">
        <v>627</v>
      </c>
    </row>
    <row r="89" ht="15.75" customHeight="1">
      <c r="A89" s="2" t="s">
        <v>763</v>
      </c>
      <c r="B89" s="2" t="s">
        <v>275</v>
      </c>
      <c r="C89" s="2" t="s">
        <v>38</v>
      </c>
      <c r="D89" s="3" t="s">
        <v>39</v>
      </c>
      <c r="E89" s="4">
        <v>2.0</v>
      </c>
      <c r="F89" s="3" t="s">
        <v>623</v>
      </c>
      <c r="G89" s="2" t="s">
        <v>267</v>
      </c>
      <c r="H89" s="3" t="s">
        <v>54</v>
      </c>
      <c r="I89" s="3" t="s">
        <v>516</v>
      </c>
      <c r="J89" s="3" t="s">
        <v>624</v>
      </c>
    </row>
    <row r="90" ht="15.75" customHeight="1">
      <c r="A90" s="2" t="s">
        <v>764</v>
      </c>
      <c r="B90" s="2" t="s">
        <v>275</v>
      </c>
      <c r="C90" s="2" t="s">
        <v>23</v>
      </c>
      <c r="D90" s="3" t="s">
        <v>24</v>
      </c>
      <c r="E90" s="4">
        <v>1.0</v>
      </c>
      <c r="F90" s="3" t="s">
        <v>623</v>
      </c>
      <c r="G90" s="2" t="s">
        <v>280</v>
      </c>
      <c r="H90" s="3" t="s">
        <v>101</v>
      </c>
      <c r="I90" s="3" t="s">
        <v>524</v>
      </c>
      <c r="J90" s="3" t="s">
        <v>624</v>
      </c>
    </row>
    <row r="91" ht="15.75" customHeight="1">
      <c r="A91" s="2" t="s">
        <v>765</v>
      </c>
      <c r="B91" s="2" t="s">
        <v>284</v>
      </c>
      <c r="C91" s="2" t="s">
        <v>38</v>
      </c>
      <c r="D91" s="3" t="s">
        <v>39</v>
      </c>
      <c r="E91" s="4">
        <v>1.0</v>
      </c>
      <c r="F91" s="3" t="s">
        <v>623</v>
      </c>
      <c r="G91" s="2" t="s">
        <v>286</v>
      </c>
      <c r="H91" s="3" t="s">
        <v>104</v>
      </c>
      <c r="I91" s="3" t="s">
        <v>524</v>
      </c>
      <c r="J91" s="3" t="s">
        <v>624</v>
      </c>
    </row>
    <row r="92" ht="15.75" customHeight="1">
      <c r="A92" s="2" t="s">
        <v>766</v>
      </c>
      <c r="B92" s="2" t="s">
        <v>284</v>
      </c>
      <c r="C92" s="2" t="s">
        <v>27</v>
      </c>
      <c r="D92" s="3" t="s">
        <v>767</v>
      </c>
      <c r="E92" s="4">
        <v>2.0</v>
      </c>
      <c r="F92" s="3" t="s">
        <v>623</v>
      </c>
      <c r="G92" s="2" t="s">
        <v>269</v>
      </c>
      <c r="H92" s="3" t="s">
        <v>101</v>
      </c>
      <c r="I92" s="3" t="s">
        <v>520</v>
      </c>
      <c r="J92" s="3" t="s">
        <v>624</v>
      </c>
    </row>
    <row r="93" ht="15.75" customHeight="1">
      <c r="A93" s="2" t="s">
        <v>768</v>
      </c>
      <c r="B93" s="2" t="s">
        <v>284</v>
      </c>
      <c r="C93" s="2" t="s">
        <v>27</v>
      </c>
      <c r="D93" s="3" t="s">
        <v>769</v>
      </c>
      <c r="E93" s="4">
        <v>1.0</v>
      </c>
      <c r="F93" s="3" t="s">
        <v>623</v>
      </c>
      <c r="G93" s="2" t="s">
        <v>281</v>
      </c>
      <c r="H93" s="3" t="s">
        <v>101</v>
      </c>
      <c r="I93" s="3" t="s">
        <v>520</v>
      </c>
      <c r="J93" s="3" t="s">
        <v>624</v>
      </c>
    </row>
    <row r="94" ht="15.75" customHeight="1">
      <c r="A94" s="2" t="s">
        <v>770</v>
      </c>
      <c r="B94" s="2" t="s">
        <v>284</v>
      </c>
      <c r="C94" s="2" t="s">
        <v>30</v>
      </c>
      <c r="D94" s="3" t="s">
        <v>771</v>
      </c>
      <c r="E94" s="4">
        <v>2.0</v>
      </c>
      <c r="F94" s="3" t="s">
        <v>623</v>
      </c>
      <c r="G94" s="2" t="s">
        <v>272</v>
      </c>
      <c r="H94" s="3" t="s">
        <v>114</v>
      </c>
      <c r="I94" s="3" t="s">
        <v>520</v>
      </c>
      <c r="J94" s="3" t="s">
        <v>624</v>
      </c>
    </row>
    <row r="95" ht="15.75" customHeight="1">
      <c r="A95" s="2" t="s">
        <v>772</v>
      </c>
      <c r="B95" s="2" t="s">
        <v>284</v>
      </c>
      <c r="C95" s="2" t="s">
        <v>19</v>
      </c>
      <c r="D95" s="2" t="s">
        <v>773</v>
      </c>
      <c r="E95" s="4">
        <v>3.0</v>
      </c>
      <c r="F95" s="3" t="s">
        <v>623</v>
      </c>
      <c r="G95" s="2" t="s">
        <v>274</v>
      </c>
      <c r="H95" s="3" t="s">
        <v>54</v>
      </c>
      <c r="I95" s="3" t="s">
        <v>516</v>
      </c>
      <c r="J95" s="3" t="s">
        <v>624</v>
      </c>
    </row>
    <row r="96" ht="15.75" customHeight="1">
      <c r="A96" s="2" t="s">
        <v>774</v>
      </c>
      <c r="B96" s="2" t="s">
        <v>284</v>
      </c>
      <c r="C96" s="2" t="s">
        <v>19</v>
      </c>
      <c r="D96" s="2" t="s">
        <v>775</v>
      </c>
      <c r="E96" s="4">
        <v>2.0</v>
      </c>
      <c r="F96" s="3" t="s">
        <v>623</v>
      </c>
      <c r="G96" s="2" t="s">
        <v>283</v>
      </c>
      <c r="H96" s="3" t="s">
        <v>104</v>
      </c>
      <c r="I96" s="3" t="s">
        <v>516</v>
      </c>
      <c r="J96" s="3" t="s">
        <v>65</v>
      </c>
    </row>
    <row r="97" ht="15.75" customHeight="1">
      <c r="A97" s="2" t="s">
        <v>776</v>
      </c>
      <c r="B97" s="2" t="s">
        <v>284</v>
      </c>
      <c r="C97" s="2" t="s">
        <v>14</v>
      </c>
      <c r="D97" s="3" t="s">
        <v>15</v>
      </c>
      <c r="E97" s="4">
        <v>1.0</v>
      </c>
      <c r="F97" s="3" t="s">
        <v>650</v>
      </c>
      <c r="G97" s="2" t="s">
        <v>651</v>
      </c>
      <c r="H97" s="3" t="s">
        <v>101</v>
      </c>
      <c r="I97" s="3" t="s">
        <v>524</v>
      </c>
      <c r="J97" s="3" t="s">
        <v>627</v>
      </c>
    </row>
    <row r="98" ht="15.75" customHeight="1">
      <c r="A98" s="2" t="s">
        <v>777</v>
      </c>
      <c r="B98" s="2" t="s">
        <v>289</v>
      </c>
      <c r="C98" s="2" t="s">
        <v>16</v>
      </c>
      <c r="D98" s="2" t="s">
        <v>778</v>
      </c>
      <c r="E98" s="4">
        <v>1.0</v>
      </c>
      <c r="F98" s="3" t="s">
        <v>623</v>
      </c>
      <c r="G98" s="2" t="s">
        <v>277</v>
      </c>
      <c r="H98" s="3" t="s">
        <v>77</v>
      </c>
      <c r="I98" s="3" t="s">
        <v>524</v>
      </c>
      <c r="J98" s="3" t="s">
        <v>627</v>
      </c>
    </row>
    <row r="99" ht="15.75" customHeight="1">
      <c r="A99" s="2" t="s">
        <v>779</v>
      </c>
      <c r="B99" s="2" t="s">
        <v>289</v>
      </c>
      <c r="C99" s="2" t="s">
        <v>23</v>
      </c>
      <c r="D99" s="3" t="s">
        <v>24</v>
      </c>
      <c r="E99" s="4">
        <v>1.0</v>
      </c>
      <c r="F99" s="3" t="s">
        <v>623</v>
      </c>
      <c r="G99" s="2" t="s">
        <v>287</v>
      </c>
      <c r="H99" s="3" t="s">
        <v>101</v>
      </c>
      <c r="I99" s="3" t="s">
        <v>516</v>
      </c>
      <c r="J99" s="3" t="s">
        <v>624</v>
      </c>
    </row>
    <row r="100" ht="15.75" customHeight="1">
      <c r="A100" s="2" t="s">
        <v>780</v>
      </c>
      <c r="B100" s="2" t="s">
        <v>292</v>
      </c>
      <c r="C100" s="2" t="s">
        <v>14</v>
      </c>
      <c r="D100" s="3" t="s">
        <v>15</v>
      </c>
      <c r="E100" s="4">
        <v>5.0</v>
      </c>
      <c r="F100" s="3" t="s">
        <v>623</v>
      </c>
      <c r="G100" s="2" t="s">
        <v>290</v>
      </c>
      <c r="H100" s="3" t="s">
        <v>81</v>
      </c>
      <c r="I100" s="3" t="s">
        <v>524</v>
      </c>
      <c r="J100" s="3" t="s">
        <v>627</v>
      </c>
    </row>
    <row r="101" ht="15.75" customHeight="1">
      <c r="A101" s="2" t="s">
        <v>781</v>
      </c>
      <c r="B101" s="2" t="s">
        <v>295</v>
      </c>
      <c r="C101" s="2" t="s">
        <v>14</v>
      </c>
      <c r="D101" s="3" t="s">
        <v>15</v>
      </c>
      <c r="E101" s="4">
        <v>2.0</v>
      </c>
      <c r="F101" s="3" t="s">
        <v>623</v>
      </c>
      <c r="G101" s="2" t="s">
        <v>288</v>
      </c>
      <c r="H101" s="3" t="s">
        <v>54</v>
      </c>
      <c r="I101" s="3" t="s">
        <v>524</v>
      </c>
      <c r="J101" s="3" t="s">
        <v>627</v>
      </c>
    </row>
    <row r="102" ht="15.75" customHeight="1">
      <c r="A102" s="2" t="s">
        <v>782</v>
      </c>
      <c r="B102" s="2" t="s">
        <v>295</v>
      </c>
      <c r="C102" s="2" t="s">
        <v>12</v>
      </c>
      <c r="D102" s="3" t="s">
        <v>13</v>
      </c>
      <c r="E102" s="4">
        <v>2.0</v>
      </c>
      <c r="F102" s="3" t="s">
        <v>623</v>
      </c>
      <c r="G102" s="2" t="s">
        <v>291</v>
      </c>
      <c r="H102" s="3" t="s">
        <v>77</v>
      </c>
      <c r="I102" s="3" t="s">
        <v>524</v>
      </c>
      <c r="J102" s="3" t="s">
        <v>624</v>
      </c>
    </row>
    <row r="103" ht="15.75" customHeight="1">
      <c r="A103" s="2" t="s">
        <v>783</v>
      </c>
      <c r="B103" s="2" t="s">
        <v>299</v>
      </c>
      <c r="C103" s="2" t="s">
        <v>30</v>
      </c>
      <c r="D103" s="3" t="s">
        <v>784</v>
      </c>
      <c r="E103" s="4">
        <v>1.0</v>
      </c>
      <c r="F103" s="3" t="s">
        <v>623</v>
      </c>
      <c r="G103" s="2" t="s">
        <v>298</v>
      </c>
      <c r="H103" s="3" t="s">
        <v>114</v>
      </c>
      <c r="I103" s="3" t="s">
        <v>524</v>
      </c>
      <c r="J103" s="3" t="s">
        <v>624</v>
      </c>
    </row>
    <row r="104" ht="15.75" customHeight="1">
      <c r="A104" s="2" t="s">
        <v>785</v>
      </c>
      <c r="B104" s="2" t="s">
        <v>304</v>
      </c>
      <c r="C104" s="2" t="s">
        <v>12</v>
      </c>
      <c r="D104" s="3" t="s">
        <v>13</v>
      </c>
      <c r="E104" s="4">
        <v>2.0</v>
      </c>
      <c r="F104" s="3" t="s">
        <v>623</v>
      </c>
      <c r="G104" s="2" t="s">
        <v>307</v>
      </c>
      <c r="H104" s="3" t="s">
        <v>104</v>
      </c>
      <c r="I104" s="3" t="s">
        <v>520</v>
      </c>
      <c r="J104" s="3" t="s">
        <v>624</v>
      </c>
    </row>
    <row r="105" ht="15.75" customHeight="1">
      <c r="A105" s="2" t="s">
        <v>786</v>
      </c>
      <c r="B105" s="2" t="s">
        <v>310</v>
      </c>
      <c r="C105" s="2" t="s">
        <v>34</v>
      </c>
      <c r="D105" s="3" t="s">
        <v>35</v>
      </c>
      <c r="E105" s="4">
        <v>1.0</v>
      </c>
      <c r="F105" s="3" t="s">
        <v>623</v>
      </c>
      <c r="G105" s="2" t="s">
        <v>309</v>
      </c>
      <c r="H105" s="3" t="s">
        <v>101</v>
      </c>
      <c r="I105" s="3" t="s">
        <v>516</v>
      </c>
      <c r="J105" s="3" t="s">
        <v>627</v>
      </c>
    </row>
    <row r="106" ht="15.75" customHeight="1">
      <c r="A106" s="2" t="s">
        <v>787</v>
      </c>
      <c r="B106" s="2" t="s">
        <v>310</v>
      </c>
      <c r="C106" s="2" t="s">
        <v>16</v>
      </c>
      <c r="D106" s="2" t="s">
        <v>788</v>
      </c>
      <c r="E106" s="4">
        <v>5.0</v>
      </c>
      <c r="F106" s="3" t="s">
        <v>623</v>
      </c>
      <c r="G106" s="2" t="s">
        <v>301</v>
      </c>
      <c r="H106" s="3" t="s">
        <v>81</v>
      </c>
      <c r="I106" s="3" t="s">
        <v>524</v>
      </c>
      <c r="J106" s="3" t="s">
        <v>627</v>
      </c>
    </row>
    <row r="107" ht="15.75" customHeight="1">
      <c r="A107" s="2" t="s">
        <v>789</v>
      </c>
      <c r="B107" s="2" t="s">
        <v>315</v>
      </c>
      <c r="C107" s="2" t="s">
        <v>34</v>
      </c>
      <c r="D107" s="3" t="s">
        <v>35</v>
      </c>
      <c r="E107" s="4">
        <v>1.0</v>
      </c>
      <c r="F107" s="3" t="s">
        <v>623</v>
      </c>
      <c r="G107" s="2" t="s">
        <v>317</v>
      </c>
      <c r="H107" s="3" t="s">
        <v>114</v>
      </c>
      <c r="I107" s="3" t="s">
        <v>520</v>
      </c>
      <c r="J107" s="3" t="s">
        <v>624</v>
      </c>
    </row>
    <row r="108" ht="15.75" customHeight="1">
      <c r="A108" s="2" t="s">
        <v>790</v>
      </c>
      <c r="B108" s="2" t="s">
        <v>315</v>
      </c>
      <c r="C108" s="2" t="s">
        <v>16</v>
      </c>
      <c r="D108" s="2" t="s">
        <v>791</v>
      </c>
      <c r="E108" s="4">
        <v>5.0</v>
      </c>
      <c r="F108" s="3" t="s">
        <v>623</v>
      </c>
      <c r="G108" s="2" t="s">
        <v>312</v>
      </c>
      <c r="H108" s="3" t="s">
        <v>81</v>
      </c>
      <c r="I108" s="3" t="s">
        <v>516</v>
      </c>
      <c r="J108" s="3" t="s">
        <v>624</v>
      </c>
    </row>
    <row r="109" ht="15.75" customHeight="1">
      <c r="A109" s="2" t="s">
        <v>792</v>
      </c>
      <c r="B109" s="2" t="s">
        <v>315</v>
      </c>
      <c r="C109" s="2" t="s">
        <v>8</v>
      </c>
      <c r="D109" s="3" t="s">
        <v>793</v>
      </c>
      <c r="E109" s="4">
        <v>1.0</v>
      </c>
      <c r="F109" s="3" t="s">
        <v>623</v>
      </c>
      <c r="G109" s="2" t="s">
        <v>305</v>
      </c>
      <c r="H109" s="3" t="s">
        <v>77</v>
      </c>
      <c r="I109" s="3" t="s">
        <v>520</v>
      </c>
      <c r="J109" s="3" t="s">
        <v>624</v>
      </c>
    </row>
    <row r="110" ht="15.75" customHeight="1">
      <c r="A110" s="2" t="s">
        <v>794</v>
      </c>
      <c r="B110" s="2" t="s">
        <v>315</v>
      </c>
      <c r="C110" s="2" t="s">
        <v>23</v>
      </c>
      <c r="D110" s="3" t="s">
        <v>24</v>
      </c>
      <c r="E110" s="4">
        <v>3.0</v>
      </c>
      <c r="F110" s="3" t="s">
        <v>623</v>
      </c>
      <c r="G110" s="2" t="s">
        <v>303</v>
      </c>
      <c r="H110" s="3" t="s">
        <v>59</v>
      </c>
      <c r="I110" s="3" t="s">
        <v>520</v>
      </c>
      <c r="J110" s="3" t="s">
        <v>624</v>
      </c>
    </row>
    <row r="111" ht="15.75" customHeight="1">
      <c r="A111" s="2" t="s">
        <v>795</v>
      </c>
      <c r="B111" s="2" t="s">
        <v>315</v>
      </c>
      <c r="C111" s="2" t="s">
        <v>23</v>
      </c>
      <c r="D111" s="3" t="s">
        <v>24</v>
      </c>
      <c r="E111" s="4">
        <v>1.0</v>
      </c>
      <c r="F111" s="3" t="s">
        <v>623</v>
      </c>
      <c r="G111" s="2" t="s">
        <v>318</v>
      </c>
      <c r="H111" s="3" t="s">
        <v>54</v>
      </c>
      <c r="I111" s="3" t="s">
        <v>524</v>
      </c>
      <c r="J111" s="3" t="s">
        <v>65</v>
      </c>
    </row>
    <row r="112" ht="15.75" customHeight="1">
      <c r="A112" s="2" t="s">
        <v>796</v>
      </c>
      <c r="B112" s="2" t="s">
        <v>323</v>
      </c>
      <c r="C112" s="2" t="s">
        <v>38</v>
      </c>
      <c r="D112" s="3" t="s">
        <v>39</v>
      </c>
      <c r="E112" s="4">
        <v>1.0</v>
      </c>
      <c r="F112" s="3" t="s">
        <v>623</v>
      </c>
      <c r="G112" s="2" t="s">
        <v>311</v>
      </c>
      <c r="H112" s="3" t="s">
        <v>114</v>
      </c>
      <c r="I112" s="3" t="s">
        <v>524</v>
      </c>
      <c r="J112" s="3" t="s">
        <v>65</v>
      </c>
    </row>
    <row r="113" ht="15.75" customHeight="1">
      <c r="A113" s="2" t="s">
        <v>797</v>
      </c>
      <c r="B113" s="2" t="s">
        <v>323</v>
      </c>
      <c r="C113" s="2" t="s">
        <v>19</v>
      </c>
      <c r="D113" s="2" t="s">
        <v>798</v>
      </c>
      <c r="E113" s="4">
        <v>1.0</v>
      </c>
      <c r="F113" s="3" t="s">
        <v>623</v>
      </c>
      <c r="G113" s="2" t="s">
        <v>322</v>
      </c>
      <c r="H113" s="3" t="s">
        <v>81</v>
      </c>
      <c r="I113" s="3" t="s">
        <v>524</v>
      </c>
      <c r="J113" s="3" t="s">
        <v>627</v>
      </c>
    </row>
    <row r="114" ht="15.75" customHeight="1">
      <c r="A114" s="2" t="s">
        <v>799</v>
      </c>
      <c r="B114" s="2" t="s">
        <v>323</v>
      </c>
      <c r="C114" s="2" t="s">
        <v>16</v>
      </c>
      <c r="D114" s="2" t="s">
        <v>800</v>
      </c>
      <c r="E114" s="4">
        <v>3.0</v>
      </c>
      <c r="F114" s="3" t="s">
        <v>623</v>
      </c>
      <c r="G114" s="2" t="s">
        <v>319</v>
      </c>
      <c r="H114" s="3" t="s">
        <v>54</v>
      </c>
      <c r="I114" s="3" t="s">
        <v>520</v>
      </c>
      <c r="J114" s="3" t="s">
        <v>65</v>
      </c>
    </row>
    <row r="115" ht="15.75" customHeight="1">
      <c r="A115" s="2" t="s">
        <v>801</v>
      </c>
      <c r="B115" s="2" t="s">
        <v>323</v>
      </c>
      <c r="C115" s="2" t="s">
        <v>27</v>
      </c>
      <c r="D115" s="3" t="s">
        <v>802</v>
      </c>
      <c r="E115" s="4">
        <v>1.0</v>
      </c>
      <c r="F115" s="3" t="s">
        <v>673</v>
      </c>
      <c r="G115" s="2" t="s">
        <v>651</v>
      </c>
      <c r="H115" s="3" t="s">
        <v>81</v>
      </c>
      <c r="I115" s="3" t="s">
        <v>516</v>
      </c>
      <c r="J115" s="3" t="s">
        <v>627</v>
      </c>
    </row>
    <row r="116" ht="15.75" customHeight="1">
      <c r="A116" s="2" t="s">
        <v>803</v>
      </c>
      <c r="B116" s="2" t="s">
        <v>323</v>
      </c>
      <c r="C116" s="2" t="s">
        <v>30</v>
      </c>
      <c r="D116" s="3" t="s">
        <v>804</v>
      </c>
      <c r="E116" s="4">
        <v>2.0</v>
      </c>
      <c r="F116" s="3" t="s">
        <v>673</v>
      </c>
      <c r="G116" s="2" t="s">
        <v>651</v>
      </c>
      <c r="H116" s="3" t="s">
        <v>104</v>
      </c>
      <c r="I116" s="3" t="s">
        <v>520</v>
      </c>
      <c r="J116" s="3" t="s">
        <v>624</v>
      </c>
    </row>
    <row r="117" ht="15.75" customHeight="1">
      <c r="A117" s="2" t="s">
        <v>805</v>
      </c>
      <c r="B117" s="2" t="s">
        <v>323</v>
      </c>
      <c r="C117" s="2" t="s">
        <v>27</v>
      </c>
      <c r="D117" s="3" t="s">
        <v>806</v>
      </c>
      <c r="E117" s="4">
        <v>1.0</v>
      </c>
      <c r="F117" s="3" t="s">
        <v>650</v>
      </c>
      <c r="G117" s="2" t="s">
        <v>651</v>
      </c>
      <c r="H117" s="3" t="s">
        <v>59</v>
      </c>
      <c r="I117" s="3" t="s">
        <v>520</v>
      </c>
      <c r="J117" s="3" t="s">
        <v>627</v>
      </c>
    </row>
    <row r="118" ht="15.75" customHeight="1">
      <c r="A118" s="2" t="s">
        <v>807</v>
      </c>
      <c r="B118" s="2" t="s">
        <v>336</v>
      </c>
      <c r="C118" s="2" t="s">
        <v>38</v>
      </c>
      <c r="D118" s="3" t="s">
        <v>39</v>
      </c>
      <c r="E118" s="4">
        <v>10.0</v>
      </c>
      <c r="F118" s="3" t="s">
        <v>623</v>
      </c>
      <c r="G118" s="2" t="s">
        <v>340</v>
      </c>
      <c r="H118" s="3" t="s">
        <v>87</v>
      </c>
      <c r="I118" s="3" t="s">
        <v>520</v>
      </c>
      <c r="J118" s="3" t="s">
        <v>65</v>
      </c>
    </row>
    <row r="119" ht="15.75" customHeight="1">
      <c r="A119" s="2" t="s">
        <v>808</v>
      </c>
      <c r="B119" s="2" t="s">
        <v>336</v>
      </c>
      <c r="C119" s="2" t="s">
        <v>16</v>
      </c>
      <c r="D119" s="2" t="s">
        <v>809</v>
      </c>
      <c r="E119" s="4">
        <v>2.0</v>
      </c>
      <c r="F119" s="3" t="s">
        <v>623</v>
      </c>
      <c r="G119" s="2" t="s">
        <v>338</v>
      </c>
      <c r="H119" s="3" t="s">
        <v>104</v>
      </c>
      <c r="I119" s="3" t="s">
        <v>524</v>
      </c>
      <c r="J119" s="3" t="s">
        <v>65</v>
      </c>
    </row>
    <row r="120" ht="15.75" customHeight="1">
      <c r="A120" s="2" t="s">
        <v>810</v>
      </c>
      <c r="B120" s="2" t="s">
        <v>336</v>
      </c>
      <c r="C120" s="2" t="s">
        <v>34</v>
      </c>
      <c r="D120" s="3" t="s">
        <v>35</v>
      </c>
      <c r="E120" s="4">
        <v>1.0</v>
      </c>
      <c r="F120" s="3" t="s">
        <v>623</v>
      </c>
      <c r="G120" s="2" t="s">
        <v>325</v>
      </c>
      <c r="H120" s="3" t="s">
        <v>114</v>
      </c>
      <c r="I120" s="3" t="s">
        <v>524</v>
      </c>
      <c r="J120" s="3" t="s">
        <v>627</v>
      </c>
    </row>
    <row r="121" ht="15.75" customHeight="1">
      <c r="A121" s="2" t="s">
        <v>811</v>
      </c>
      <c r="B121" s="2" t="s">
        <v>336</v>
      </c>
      <c r="C121" s="2" t="s">
        <v>34</v>
      </c>
      <c r="D121" s="3" t="s">
        <v>35</v>
      </c>
      <c r="E121" s="4">
        <v>1.0</v>
      </c>
      <c r="F121" s="3" t="s">
        <v>623</v>
      </c>
      <c r="G121" s="2" t="s">
        <v>327</v>
      </c>
      <c r="H121" s="3" t="s">
        <v>114</v>
      </c>
      <c r="I121" s="3" t="s">
        <v>520</v>
      </c>
      <c r="J121" s="3" t="s">
        <v>65</v>
      </c>
    </row>
    <row r="122" ht="15.75" customHeight="1">
      <c r="A122" s="2" t="s">
        <v>812</v>
      </c>
      <c r="B122" s="2" t="s">
        <v>348</v>
      </c>
      <c r="C122" s="2" t="s">
        <v>12</v>
      </c>
      <c r="D122" s="3" t="s">
        <v>13</v>
      </c>
      <c r="E122" s="4">
        <v>1.0</v>
      </c>
      <c r="F122" s="3" t="s">
        <v>623</v>
      </c>
      <c r="G122" s="2" t="s">
        <v>331</v>
      </c>
      <c r="H122" s="3" t="s">
        <v>87</v>
      </c>
      <c r="I122" s="3" t="s">
        <v>516</v>
      </c>
      <c r="J122" s="3" t="s">
        <v>65</v>
      </c>
    </row>
    <row r="123" ht="15.75" customHeight="1">
      <c r="A123" s="2" t="s">
        <v>813</v>
      </c>
      <c r="B123" s="2" t="s">
        <v>348</v>
      </c>
      <c r="C123" s="2" t="s">
        <v>16</v>
      </c>
      <c r="D123" s="2" t="s">
        <v>814</v>
      </c>
      <c r="E123" s="4">
        <v>1.0</v>
      </c>
      <c r="F123" s="3" t="s">
        <v>623</v>
      </c>
      <c r="G123" s="2" t="s">
        <v>332</v>
      </c>
      <c r="H123" s="3" t="s">
        <v>101</v>
      </c>
      <c r="I123" s="3" t="s">
        <v>524</v>
      </c>
      <c r="J123" s="3" t="s">
        <v>627</v>
      </c>
    </row>
    <row r="124" ht="15.75" customHeight="1">
      <c r="A124" s="2" t="s">
        <v>815</v>
      </c>
      <c r="B124" s="2" t="s">
        <v>348</v>
      </c>
      <c r="C124" s="2" t="s">
        <v>38</v>
      </c>
      <c r="D124" s="3" t="s">
        <v>39</v>
      </c>
      <c r="E124" s="4">
        <v>1.0</v>
      </c>
      <c r="F124" s="3" t="s">
        <v>623</v>
      </c>
      <c r="G124" s="2" t="s">
        <v>329</v>
      </c>
      <c r="H124" s="3" t="s">
        <v>54</v>
      </c>
      <c r="I124" s="3" t="s">
        <v>516</v>
      </c>
      <c r="J124" s="3" t="s">
        <v>627</v>
      </c>
    </row>
    <row r="125" ht="15.75" customHeight="1">
      <c r="A125" s="2" t="s">
        <v>816</v>
      </c>
      <c r="B125" s="2" t="s">
        <v>355</v>
      </c>
      <c r="C125" s="2" t="s">
        <v>16</v>
      </c>
      <c r="D125" s="2" t="s">
        <v>817</v>
      </c>
      <c r="E125" s="4">
        <v>3.0</v>
      </c>
      <c r="F125" s="3" t="s">
        <v>623</v>
      </c>
      <c r="G125" s="2" t="s">
        <v>341</v>
      </c>
      <c r="H125" s="3" t="s">
        <v>77</v>
      </c>
      <c r="I125" s="3" t="s">
        <v>524</v>
      </c>
      <c r="J125" s="3" t="s">
        <v>624</v>
      </c>
    </row>
    <row r="126" ht="15.75" customHeight="1">
      <c r="A126" s="2" t="s">
        <v>818</v>
      </c>
      <c r="B126" s="2" t="s">
        <v>355</v>
      </c>
      <c r="C126" s="2" t="s">
        <v>30</v>
      </c>
      <c r="D126" s="3" t="s">
        <v>819</v>
      </c>
      <c r="E126" s="4">
        <v>1.0</v>
      </c>
      <c r="F126" s="3" t="s">
        <v>623</v>
      </c>
      <c r="G126" s="2" t="s">
        <v>344</v>
      </c>
      <c r="H126" s="3" t="s">
        <v>87</v>
      </c>
      <c r="I126" s="3" t="s">
        <v>516</v>
      </c>
      <c r="J126" s="3" t="s">
        <v>627</v>
      </c>
    </row>
    <row r="127" ht="15.75" customHeight="1">
      <c r="A127" s="2" t="s">
        <v>820</v>
      </c>
      <c r="B127" s="2" t="s">
        <v>355</v>
      </c>
      <c r="C127" s="2" t="s">
        <v>38</v>
      </c>
      <c r="D127" s="3" t="s">
        <v>39</v>
      </c>
      <c r="E127" s="4">
        <v>1.0</v>
      </c>
      <c r="F127" s="3" t="s">
        <v>623</v>
      </c>
      <c r="G127" s="2" t="s">
        <v>354</v>
      </c>
      <c r="H127" s="3" t="s">
        <v>59</v>
      </c>
      <c r="I127" s="3" t="s">
        <v>516</v>
      </c>
      <c r="J127" s="3" t="s">
        <v>65</v>
      </c>
    </row>
    <row r="128" ht="15.75" customHeight="1">
      <c r="A128" s="2" t="s">
        <v>821</v>
      </c>
      <c r="B128" s="2" t="s">
        <v>355</v>
      </c>
      <c r="C128" s="2" t="s">
        <v>30</v>
      </c>
      <c r="D128" s="3" t="s">
        <v>822</v>
      </c>
      <c r="E128" s="4">
        <v>1.0</v>
      </c>
      <c r="F128" s="3" t="s">
        <v>623</v>
      </c>
      <c r="G128" s="2" t="s">
        <v>350</v>
      </c>
      <c r="H128" s="3" t="s">
        <v>101</v>
      </c>
      <c r="I128" s="3" t="s">
        <v>524</v>
      </c>
      <c r="J128" s="3" t="s">
        <v>65</v>
      </c>
    </row>
    <row r="129" ht="15.75" customHeight="1">
      <c r="A129" s="2" t="s">
        <v>823</v>
      </c>
      <c r="B129" s="2" t="s">
        <v>357</v>
      </c>
      <c r="C129" s="2" t="s">
        <v>38</v>
      </c>
      <c r="D129" s="3" t="s">
        <v>39</v>
      </c>
      <c r="E129" s="4">
        <v>1.0</v>
      </c>
      <c r="F129" s="3" t="s">
        <v>623</v>
      </c>
      <c r="G129" s="2" t="s">
        <v>353</v>
      </c>
      <c r="H129" s="3" t="s">
        <v>59</v>
      </c>
      <c r="I129" s="3" t="s">
        <v>516</v>
      </c>
      <c r="J129" s="3" t="s">
        <v>65</v>
      </c>
    </row>
    <row r="130" ht="15.75" customHeight="1">
      <c r="A130" s="2" t="s">
        <v>824</v>
      </c>
      <c r="B130" s="2" t="s">
        <v>357</v>
      </c>
      <c r="C130" s="2" t="s">
        <v>34</v>
      </c>
      <c r="D130" s="3" t="s">
        <v>35</v>
      </c>
      <c r="E130" s="4">
        <v>5.0</v>
      </c>
      <c r="F130" s="3" t="s">
        <v>623</v>
      </c>
      <c r="G130" s="2" t="s">
        <v>363</v>
      </c>
      <c r="H130" s="3" t="s">
        <v>81</v>
      </c>
      <c r="I130" s="3" t="s">
        <v>520</v>
      </c>
      <c r="J130" s="3" t="s">
        <v>624</v>
      </c>
    </row>
    <row r="131" ht="15.75" customHeight="1">
      <c r="A131" s="2" t="s">
        <v>825</v>
      </c>
      <c r="B131" s="2" t="s">
        <v>357</v>
      </c>
      <c r="C131" s="2" t="s">
        <v>23</v>
      </c>
      <c r="D131" s="3" t="s">
        <v>24</v>
      </c>
      <c r="E131" s="4">
        <v>2.0</v>
      </c>
      <c r="F131" s="3" t="s">
        <v>623</v>
      </c>
      <c r="G131" s="2" t="s">
        <v>352</v>
      </c>
      <c r="H131" s="3" t="s">
        <v>87</v>
      </c>
      <c r="I131" s="3" t="s">
        <v>520</v>
      </c>
      <c r="J131" s="3" t="s">
        <v>624</v>
      </c>
    </row>
    <row r="132" ht="15.75" customHeight="1">
      <c r="A132" s="2" t="s">
        <v>826</v>
      </c>
      <c r="B132" s="2" t="s">
        <v>365</v>
      </c>
      <c r="C132" s="2" t="s">
        <v>19</v>
      </c>
      <c r="D132" s="2" t="s">
        <v>827</v>
      </c>
      <c r="E132" s="4">
        <v>10.0</v>
      </c>
      <c r="F132" s="3" t="s">
        <v>623</v>
      </c>
      <c r="G132" s="2" t="s">
        <v>356</v>
      </c>
      <c r="H132" s="3" t="s">
        <v>59</v>
      </c>
      <c r="I132" s="3" t="s">
        <v>520</v>
      </c>
      <c r="J132" s="3" t="s">
        <v>624</v>
      </c>
    </row>
    <row r="133" ht="15.75" customHeight="1">
      <c r="A133" s="2" t="s">
        <v>828</v>
      </c>
      <c r="B133" s="2" t="s">
        <v>371</v>
      </c>
      <c r="C133" s="2" t="s">
        <v>16</v>
      </c>
      <c r="D133" s="2" t="s">
        <v>829</v>
      </c>
      <c r="E133" s="4">
        <v>1.0</v>
      </c>
      <c r="F133" s="3" t="s">
        <v>623</v>
      </c>
      <c r="G133" s="2" t="s">
        <v>373</v>
      </c>
      <c r="H133" s="3" t="s">
        <v>104</v>
      </c>
      <c r="I133" s="3" t="s">
        <v>524</v>
      </c>
      <c r="J133" s="3" t="s">
        <v>627</v>
      </c>
    </row>
    <row r="134" ht="15.75" customHeight="1">
      <c r="A134" s="2" t="s">
        <v>830</v>
      </c>
      <c r="B134" s="2" t="s">
        <v>371</v>
      </c>
      <c r="C134" s="2" t="s">
        <v>19</v>
      </c>
      <c r="D134" s="2" t="s">
        <v>831</v>
      </c>
      <c r="E134" s="4">
        <v>1.0</v>
      </c>
      <c r="F134" s="3" t="s">
        <v>623</v>
      </c>
      <c r="G134" s="2" t="s">
        <v>360</v>
      </c>
      <c r="H134" s="3" t="s">
        <v>81</v>
      </c>
      <c r="I134" s="3" t="s">
        <v>516</v>
      </c>
      <c r="J134" s="3" t="s">
        <v>624</v>
      </c>
    </row>
    <row r="135" ht="15.75" customHeight="1">
      <c r="A135" s="2" t="s">
        <v>832</v>
      </c>
      <c r="B135" s="2" t="s">
        <v>371</v>
      </c>
      <c r="C135" s="2" t="s">
        <v>38</v>
      </c>
      <c r="D135" s="3" t="s">
        <v>39</v>
      </c>
      <c r="E135" s="4">
        <v>10.0</v>
      </c>
      <c r="F135" s="3" t="s">
        <v>623</v>
      </c>
      <c r="G135" s="2" t="s">
        <v>370</v>
      </c>
      <c r="H135" s="3" t="s">
        <v>54</v>
      </c>
      <c r="I135" s="3" t="s">
        <v>516</v>
      </c>
      <c r="J135" s="3" t="s">
        <v>65</v>
      </c>
    </row>
    <row r="136" ht="15.75" customHeight="1">
      <c r="A136" s="2" t="s">
        <v>833</v>
      </c>
      <c r="B136" s="2" t="s">
        <v>377</v>
      </c>
      <c r="C136" s="2" t="s">
        <v>16</v>
      </c>
      <c r="D136" s="2" t="s">
        <v>834</v>
      </c>
      <c r="E136" s="4">
        <v>3.0</v>
      </c>
      <c r="F136" s="3" t="s">
        <v>623</v>
      </c>
      <c r="G136" s="2" t="s">
        <v>376</v>
      </c>
      <c r="H136" s="3" t="s">
        <v>101</v>
      </c>
      <c r="I136" s="3" t="s">
        <v>516</v>
      </c>
      <c r="J136" s="3" t="s">
        <v>65</v>
      </c>
    </row>
    <row r="137" ht="15.75" customHeight="1">
      <c r="A137" s="2" t="s">
        <v>835</v>
      </c>
      <c r="B137" s="2" t="s">
        <v>377</v>
      </c>
      <c r="C137" s="2" t="s">
        <v>23</v>
      </c>
      <c r="D137" s="3" t="s">
        <v>24</v>
      </c>
      <c r="E137" s="4">
        <v>1.0</v>
      </c>
      <c r="F137" s="3" t="s">
        <v>623</v>
      </c>
      <c r="G137" s="2" t="s">
        <v>372</v>
      </c>
      <c r="H137" s="3" t="s">
        <v>81</v>
      </c>
      <c r="I137" s="3" t="s">
        <v>520</v>
      </c>
      <c r="J137" s="3" t="s">
        <v>65</v>
      </c>
    </row>
    <row r="138" ht="15.75" customHeight="1">
      <c r="A138" s="2" t="s">
        <v>836</v>
      </c>
      <c r="B138" s="2" t="s">
        <v>377</v>
      </c>
      <c r="C138" s="2" t="s">
        <v>19</v>
      </c>
      <c r="D138" s="2" t="s">
        <v>837</v>
      </c>
      <c r="E138" s="4">
        <v>1.0</v>
      </c>
      <c r="F138" s="3" t="s">
        <v>623</v>
      </c>
      <c r="G138" s="2" t="s">
        <v>379</v>
      </c>
      <c r="H138" s="3" t="s">
        <v>101</v>
      </c>
      <c r="I138" s="3" t="s">
        <v>520</v>
      </c>
      <c r="J138" s="3" t="s">
        <v>627</v>
      </c>
    </row>
    <row r="139" ht="15.75" customHeight="1">
      <c r="A139" s="2" t="s">
        <v>838</v>
      </c>
      <c r="B139" s="2" t="s">
        <v>377</v>
      </c>
      <c r="C139" s="2" t="s">
        <v>27</v>
      </c>
      <c r="D139" s="3" t="s">
        <v>839</v>
      </c>
      <c r="E139" s="4">
        <v>1.0</v>
      </c>
      <c r="F139" s="3" t="s">
        <v>623</v>
      </c>
      <c r="G139" s="2" t="s">
        <v>368</v>
      </c>
      <c r="H139" s="3" t="s">
        <v>104</v>
      </c>
      <c r="I139" s="3" t="s">
        <v>524</v>
      </c>
      <c r="J139" s="3" t="s">
        <v>624</v>
      </c>
    </row>
    <row r="140" ht="15.75" customHeight="1">
      <c r="A140" s="2" t="s">
        <v>840</v>
      </c>
      <c r="B140" s="2" t="s">
        <v>377</v>
      </c>
      <c r="C140" s="2" t="s">
        <v>27</v>
      </c>
      <c r="D140" s="3" t="s">
        <v>841</v>
      </c>
      <c r="E140" s="4">
        <v>1.0</v>
      </c>
      <c r="F140" s="3" t="s">
        <v>623</v>
      </c>
      <c r="G140" s="2" t="s">
        <v>364</v>
      </c>
      <c r="H140" s="3" t="s">
        <v>104</v>
      </c>
      <c r="I140" s="3" t="s">
        <v>524</v>
      </c>
      <c r="J140" s="3" t="s">
        <v>65</v>
      </c>
    </row>
    <row r="141" ht="15.75" customHeight="1">
      <c r="A141" s="2" t="s">
        <v>842</v>
      </c>
      <c r="B141" s="2" t="s">
        <v>383</v>
      </c>
      <c r="C141" s="2" t="s">
        <v>34</v>
      </c>
      <c r="D141" s="3" t="s">
        <v>35</v>
      </c>
      <c r="E141" s="4">
        <v>1.0</v>
      </c>
      <c r="F141" s="3" t="s">
        <v>623</v>
      </c>
      <c r="G141" s="2" t="s">
        <v>382</v>
      </c>
      <c r="H141" s="3" t="s">
        <v>104</v>
      </c>
      <c r="I141" s="3" t="s">
        <v>524</v>
      </c>
      <c r="J141" s="3" t="s">
        <v>627</v>
      </c>
    </row>
    <row r="142" ht="15.75" customHeight="1">
      <c r="A142" s="2" t="s">
        <v>843</v>
      </c>
      <c r="B142" s="2" t="s">
        <v>383</v>
      </c>
      <c r="C142" s="2" t="s">
        <v>23</v>
      </c>
      <c r="D142" s="3" t="s">
        <v>24</v>
      </c>
      <c r="E142" s="4">
        <v>3.0</v>
      </c>
      <c r="F142" s="3" t="s">
        <v>623</v>
      </c>
      <c r="G142" s="2" t="s">
        <v>375</v>
      </c>
      <c r="H142" s="3" t="s">
        <v>104</v>
      </c>
      <c r="I142" s="3" t="s">
        <v>524</v>
      </c>
      <c r="J142" s="3" t="s">
        <v>624</v>
      </c>
    </row>
    <row r="143" ht="15.75" customHeight="1">
      <c r="A143" s="2" t="s">
        <v>844</v>
      </c>
      <c r="B143" s="2" t="s">
        <v>383</v>
      </c>
      <c r="C143" s="2" t="s">
        <v>23</v>
      </c>
      <c r="D143" s="3" t="s">
        <v>24</v>
      </c>
      <c r="E143" s="4">
        <v>3.0</v>
      </c>
      <c r="F143" s="3" t="s">
        <v>623</v>
      </c>
      <c r="G143" s="2" t="s">
        <v>381</v>
      </c>
      <c r="H143" s="3" t="s">
        <v>114</v>
      </c>
      <c r="I143" s="3" t="s">
        <v>520</v>
      </c>
      <c r="J143" s="3" t="s">
        <v>627</v>
      </c>
    </row>
    <row r="144" ht="15.75" customHeight="1">
      <c r="A144" s="2" t="s">
        <v>845</v>
      </c>
      <c r="B144" s="2" t="s">
        <v>383</v>
      </c>
      <c r="C144" s="2" t="s">
        <v>14</v>
      </c>
      <c r="D144" s="3" t="s">
        <v>15</v>
      </c>
      <c r="E144" s="4">
        <v>3.0</v>
      </c>
      <c r="F144" s="3" t="s">
        <v>742</v>
      </c>
      <c r="G144" s="2" t="s">
        <v>651</v>
      </c>
      <c r="H144" s="3" t="s">
        <v>114</v>
      </c>
      <c r="I144" s="3" t="s">
        <v>516</v>
      </c>
      <c r="J144" s="3" t="s">
        <v>65</v>
      </c>
    </row>
    <row r="145" ht="15.75" customHeight="1">
      <c r="A145" s="2" t="s">
        <v>846</v>
      </c>
      <c r="B145" s="2" t="s">
        <v>393</v>
      </c>
      <c r="C145" s="2" t="s">
        <v>27</v>
      </c>
      <c r="D145" s="3" t="s">
        <v>847</v>
      </c>
      <c r="E145" s="4">
        <v>5.0</v>
      </c>
      <c r="F145" s="3" t="s">
        <v>623</v>
      </c>
      <c r="G145" s="2" t="s">
        <v>389</v>
      </c>
      <c r="H145" s="3" t="s">
        <v>104</v>
      </c>
      <c r="I145" s="3" t="s">
        <v>516</v>
      </c>
      <c r="J145" s="3" t="s">
        <v>65</v>
      </c>
    </row>
    <row r="146" ht="15.75" customHeight="1">
      <c r="A146" s="2" t="s">
        <v>848</v>
      </c>
      <c r="B146" s="2" t="s">
        <v>576</v>
      </c>
      <c r="C146" s="2" t="s">
        <v>34</v>
      </c>
      <c r="D146" s="3" t="s">
        <v>35</v>
      </c>
      <c r="E146" s="4">
        <v>2.0</v>
      </c>
      <c r="F146" s="3" t="s">
        <v>673</v>
      </c>
      <c r="G146" s="2" t="s">
        <v>651</v>
      </c>
      <c r="H146" s="3" t="s">
        <v>77</v>
      </c>
      <c r="I146" s="3" t="s">
        <v>524</v>
      </c>
      <c r="J146" s="3" t="s">
        <v>627</v>
      </c>
    </row>
    <row r="147" ht="15.75" customHeight="1">
      <c r="A147" s="2" t="s">
        <v>849</v>
      </c>
      <c r="B147" s="2" t="s">
        <v>396</v>
      </c>
      <c r="C147" s="2" t="s">
        <v>38</v>
      </c>
      <c r="D147" s="3" t="s">
        <v>39</v>
      </c>
      <c r="E147" s="4">
        <v>1.0</v>
      </c>
      <c r="F147" s="3" t="s">
        <v>623</v>
      </c>
      <c r="G147" s="2" t="s">
        <v>392</v>
      </c>
      <c r="H147" s="3" t="s">
        <v>59</v>
      </c>
      <c r="I147" s="3" t="s">
        <v>520</v>
      </c>
      <c r="J147" s="3" t="s">
        <v>624</v>
      </c>
    </row>
    <row r="148" ht="15.75" customHeight="1">
      <c r="A148" s="2" t="s">
        <v>850</v>
      </c>
      <c r="B148" s="2" t="s">
        <v>581</v>
      </c>
      <c r="C148" s="2" t="s">
        <v>19</v>
      </c>
      <c r="D148" s="2" t="s">
        <v>851</v>
      </c>
      <c r="E148" s="4">
        <v>1.0</v>
      </c>
      <c r="F148" s="3" t="s">
        <v>623</v>
      </c>
      <c r="G148" s="2" t="s">
        <v>395</v>
      </c>
      <c r="H148" s="3" t="s">
        <v>87</v>
      </c>
      <c r="I148" s="3" t="s">
        <v>524</v>
      </c>
      <c r="J148" s="3" t="s">
        <v>627</v>
      </c>
    </row>
    <row r="149" ht="15.75" customHeight="1">
      <c r="A149" s="2" t="s">
        <v>852</v>
      </c>
      <c r="B149" s="2" t="s">
        <v>581</v>
      </c>
      <c r="C149" s="2" t="s">
        <v>34</v>
      </c>
      <c r="D149" s="3" t="s">
        <v>35</v>
      </c>
      <c r="E149" s="4">
        <v>5.0</v>
      </c>
      <c r="F149" s="3" t="s">
        <v>650</v>
      </c>
      <c r="G149" s="2" t="s">
        <v>651</v>
      </c>
      <c r="H149" s="3" t="s">
        <v>87</v>
      </c>
      <c r="I149" s="3" t="s">
        <v>524</v>
      </c>
      <c r="J149" s="3" t="s">
        <v>624</v>
      </c>
    </row>
    <row r="150" ht="15.75" customHeight="1">
      <c r="A150" s="2" t="s">
        <v>853</v>
      </c>
      <c r="B150" s="2" t="s">
        <v>581</v>
      </c>
      <c r="C150" s="2" t="s">
        <v>38</v>
      </c>
      <c r="D150" s="3" t="s">
        <v>39</v>
      </c>
      <c r="E150" s="4">
        <v>1.0</v>
      </c>
      <c r="F150" s="3" t="s">
        <v>742</v>
      </c>
      <c r="G150" s="2" t="s">
        <v>651</v>
      </c>
      <c r="H150" s="3" t="s">
        <v>59</v>
      </c>
      <c r="I150" s="3" t="s">
        <v>516</v>
      </c>
      <c r="J150" s="3" t="s">
        <v>624</v>
      </c>
    </row>
    <row r="151" ht="15.75" customHeight="1">
      <c r="A151" s="2" t="s">
        <v>854</v>
      </c>
      <c r="B151" s="2" t="s">
        <v>400</v>
      </c>
      <c r="C151" s="2" t="s">
        <v>38</v>
      </c>
      <c r="D151" s="3" t="s">
        <v>39</v>
      </c>
      <c r="E151" s="4">
        <v>1.0</v>
      </c>
      <c r="F151" s="3" t="s">
        <v>623</v>
      </c>
      <c r="G151" s="2" t="s">
        <v>402</v>
      </c>
      <c r="H151" s="3" t="s">
        <v>114</v>
      </c>
      <c r="I151" s="3" t="s">
        <v>524</v>
      </c>
      <c r="J151" s="3" t="s">
        <v>624</v>
      </c>
    </row>
    <row r="152" ht="15.75" customHeight="1">
      <c r="A152" s="2" t="s">
        <v>855</v>
      </c>
      <c r="B152" s="2" t="s">
        <v>405</v>
      </c>
      <c r="C152" s="2" t="s">
        <v>14</v>
      </c>
      <c r="D152" s="3" t="s">
        <v>15</v>
      </c>
      <c r="E152" s="4">
        <v>1.0</v>
      </c>
      <c r="F152" s="3" t="s">
        <v>623</v>
      </c>
      <c r="G152" s="2" t="s">
        <v>399</v>
      </c>
      <c r="H152" s="3" t="s">
        <v>59</v>
      </c>
      <c r="I152" s="3" t="s">
        <v>520</v>
      </c>
      <c r="J152" s="3" t="s">
        <v>627</v>
      </c>
    </row>
    <row r="153" ht="15.75" customHeight="1">
      <c r="A153" s="2" t="s">
        <v>856</v>
      </c>
      <c r="B153" s="2" t="s">
        <v>405</v>
      </c>
      <c r="C153" s="2" t="s">
        <v>14</v>
      </c>
      <c r="D153" s="3" t="s">
        <v>15</v>
      </c>
      <c r="E153" s="4">
        <v>2.0</v>
      </c>
      <c r="F153" s="3" t="s">
        <v>623</v>
      </c>
      <c r="G153" s="2" t="s">
        <v>409</v>
      </c>
      <c r="H153" s="3" t="s">
        <v>59</v>
      </c>
      <c r="I153" s="3" t="s">
        <v>524</v>
      </c>
      <c r="J153" s="3" t="s">
        <v>627</v>
      </c>
    </row>
    <row r="154" ht="15.75" customHeight="1">
      <c r="A154" s="2" t="s">
        <v>857</v>
      </c>
      <c r="B154" s="2" t="s">
        <v>405</v>
      </c>
      <c r="C154" s="2" t="s">
        <v>14</v>
      </c>
      <c r="D154" s="3" t="s">
        <v>15</v>
      </c>
      <c r="E154" s="4">
        <v>3.0</v>
      </c>
      <c r="F154" s="3" t="s">
        <v>623</v>
      </c>
      <c r="G154" s="2" t="s">
        <v>403</v>
      </c>
      <c r="H154" s="3" t="s">
        <v>81</v>
      </c>
      <c r="I154" s="3" t="s">
        <v>520</v>
      </c>
      <c r="J154" s="3" t="s">
        <v>624</v>
      </c>
    </row>
    <row r="155" ht="15.75" customHeight="1">
      <c r="A155" s="2" t="s">
        <v>858</v>
      </c>
      <c r="B155" s="2" t="s">
        <v>414</v>
      </c>
      <c r="C155" s="2" t="s">
        <v>19</v>
      </c>
      <c r="D155" s="2" t="s">
        <v>859</v>
      </c>
      <c r="E155" s="4">
        <v>2.0</v>
      </c>
      <c r="F155" s="3" t="s">
        <v>623</v>
      </c>
      <c r="G155" s="2" t="s">
        <v>406</v>
      </c>
      <c r="H155" s="3" t="s">
        <v>59</v>
      </c>
      <c r="I155" s="3" t="s">
        <v>524</v>
      </c>
      <c r="J155" s="3" t="s">
        <v>65</v>
      </c>
    </row>
    <row r="156" ht="15.75" customHeight="1">
      <c r="A156" s="2" t="s">
        <v>860</v>
      </c>
      <c r="B156" s="2" t="s">
        <v>414</v>
      </c>
      <c r="C156" s="2" t="s">
        <v>14</v>
      </c>
      <c r="D156" s="3" t="s">
        <v>15</v>
      </c>
      <c r="E156" s="4">
        <v>2.0</v>
      </c>
      <c r="F156" s="3" t="s">
        <v>623</v>
      </c>
      <c r="G156" s="2" t="s">
        <v>411</v>
      </c>
      <c r="H156" s="3" t="s">
        <v>87</v>
      </c>
      <c r="I156" s="3" t="s">
        <v>524</v>
      </c>
      <c r="J156" s="3" t="s">
        <v>627</v>
      </c>
    </row>
    <row r="157" ht="15.75" customHeight="1">
      <c r="A157" s="2" t="s">
        <v>861</v>
      </c>
      <c r="B157" s="2" t="s">
        <v>414</v>
      </c>
      <c r="C157" s="2" t="s">
        <v>14</v>
      </c>
      <c r="D157" s="3" t="s">
        <v>15</v>
      </c>
      <c r="E157" s="4">
        <v>5.0</v>
      </c>
      <c r="F157" s="3" t="s">
        <v>623</v>
      </c>
      <c r="G157" s="2" t="s">
        <v>401</v>
      </c>
      <c r="H157" s="3" t="s">
        <v>87</v>
      </c>
      <c r="I157" s="3" t="s">
        <v>520</v>
      </c>
      <c r="J157" s="3" t="s">
        <v>624</v>
      </c>
    </row>
    <row r="158" ht="15.75" customHeight="1">
      <c r="A158" s="2" t="s">
        <v>862</v>
      </c>
      <c r="B158" s="2" t="s">
        <v>414</v>
      </c>
      <c r="C158" s="2" t="s">
        <v>12</v>
      </c>
      <c r="D158" s="3" t="s">
        <v>13</v>
      </c>
      <c r="E158" s="4">
        <v>3.0</v>
      </c>
      <c r="F158" s="3" t="s">
        <v>623</v>
      </c>
      <c r="G158" s="2" t="s">
        <v>413</v>
      </c>
      <c r="H158" s="3" t="s">
        <v>54</v>
      </c>
      <c r="I158" s="3" t="s">
        <v>524</v>
      </c>
      <c r="J158" s="3" t="s">
        <v>627</v>
      </c>
    </row>
    <row r="159" ht="15.75" customHeight="1">
      <c r="A159" s="2" t="s">
        <v>863</v>
      </c>
      <c r="B159" s="2" t="s">
        <v>416</v>
      </c>
      <c r="C159" s="2" t="s">
        <v>38</v>
      </c>
      <c r="D159" s="3" t="s">
        <v>39</v>
      </c>
      <c r="E159" s="4">
        <v>3.0</v>
      </c>
      <c r="F159" s="3" t="s">
        <v>623</v>
      </c>
      <c r="G159" s="2" t="s">
        <v>404</v>
      </c>
      <c r="H159" s="3" t="s">
        <v>54</v>
      </c>
      <c r="I159" s="3" t="s">
        <v>516</v>
      </c>
      <c r="J159" s="3" t="s">
        <v>624</v>
      </c>
    </row>
    <row r="160" ht="15.75" customHeight="1">
      <c r="A160" s="2" t="s">
        <v>864</v>
      </c>
      <c r="B160" s="2" t="s">
        <v>418</v>
      </c>
      <c r="C160" s="2" t="s">
        <v>30</v>
      </c>
      <c r="D160" s="3" t="s">
        <v>865</v>
      </c>
      <c r="E160" s="4">
        <v>1.0</v>
      </c>
      <c r="F160" s="3" t="s">
        <v>623</v>
      </c>
      <c r="G160" s="2" t="s">
        <v>417</v>
      </c>
      <c r="H160" s="3" t="s">
        <v>59</v>
      </c>
      <c r="I160" s="3" t="s">
        <v>524</v>
      </c>
      <c r="J160" s="3" t="s">
        <v>65</v>
      </c>
    </row>
    <row r="161" ht="15.75" customHeight="1">
      <c r="A161" s="2" t="s">
        <v>866</v>
      </c>
      <c r="B161" s="2" t="s">
        <v>418</v>
      </c>
      <c r="C161" s="2" t="s">
        <v>27</v>
      </c>
      <c r="D161" s="3" t="s">
        <v>867</v>
      </c>
      <c r="E161" s="4">
        <v>1.0</v>
      </c>
      <c r="F161" s="3" t="s">
        <v>623</v>
      </c>
      <c r="G161" s="2" t="s">
        <v>422</v>
      </c>
      <c r="H161" s="3" t="s">
        <v>59</v>
      </c>
      <c r="I161" s="3" t="s">
        <v>520</v>
      </c>
      <c r="J161" s="3" t="s">
        <v>624</v>
      </c>
    </row>
    <row r="162" ht="15.75" customHeight="1">
      <c r="A162" s="2" t="s">
        <v>868</v>
      </c>
      <c r="B162" s="2" t="s">
        <v>418</v>
      </c>
      <c r="C162" s="2" t="s">
        <v>12</v>
      </c>
      <c r="D162" s="3" t="s">
        <v>13</v>
      </c>
      <c r="E162" s="4">
        <v>2.0</v>
      </c>
      <c r="F162" s="3" t="s">
        <v>623</v>
      </c>
      <c r="G162" s="2" t="s">
        <v>415</v>
      </c>
      <c r="H162" s="3" t="s">
        <v>104</v>
      </c>
      <c r="I162" s="3" t="s">
        <v>516</v>
      </c>
      <c r="J162" s="3" t="s">
        <v>624</v>
      </c>
    </row>
    <row r="163" ht="15.75" customHeight="1">
      <c r="A163" s="2" t="s">
        <v>869</v>
      </c>
      <c r="B163" s="2" t="s">
        <v>425</v>
      </c>
      <c r="C163" s="2" t="s">
        <v>30</v>
      </c>
      <c r="D163" s="3" t="s">
        <v>870</v>
      </c>
      <c r="E163" s="4">
        <v>1.0</v>
      </c>
      <c r="F163" s="3" t="s">
        <v>623</v>
      </c>
      <c r="G163" s="2" t="s">
        <v>420</v>
      </c>
      <c r="H163" s="3" t="s">
        <v>101</v>
      </c>
      <c r="I163" s="3" t="s">
        <v>524</v>
      </c>
      <c r="J163" s="3" t="s">
        <v>627</v>
      </c>
    </row>
    <row r="164" ht="15.75" customHeight="1">
      <c r="A164" s="2" t="s">
        <v>871</v>
      </c>
      <c r="B164" s="2" t="s">
        <v>425</v>
      </c>
      <c r="C164" s="2" t="s">
        <v>14</v>
      </c>
      <c r="D164" s="3" t="s">
        <v>15</v>
      </c>
      <c r="E164" s="4">
        <v>5.0</v>
      </c>
      <c r="F164" s="3" t="s">
        <v>623</v>
      </c>
      <c r="G164" s="2" t="s">
        <v>428</v>
      </c>
      <c r="H164" s="3" t="s">
        <v>101</v>
      </c>
      <c r="I164" s="3" t="s">
        <v>516</v>
      </c>
      <c r="J164" s="3" t="s">
        <v>65</v>
      </c>
    </row>
    <row r="165" ht="15.75" customHeight="1">
      <c r="A165" s="2" t="s">
        <v>872</v>
      </c>
      <c r="B165" s="2" t="s">
        <v>873</v>
      </c>
      <c r="C165" s="2" t="s">
        <v>34</v>
      </c>
      <c r="D165" s="3" t="s">
        <v>35</v>
      </c>
      <c r="E165" s="4">
        <v>2.0</v>
      </c>
      <c r="F165" s="3" t="s">
        <v>650</v>
      </c>
      <c r="G165" s="2" t="s">
        <v>651</v>
      </c>
      <c r="H165" s="3" t="s">
        <v>87</v>
      </c>
      <c r="I165" s="3" t="s">
        <v>516</v>
      </c>
      <c r="J165" s="3" t="s">
        <v>627</v>
      </c>
    </row>
    <row r="166" ht="15.75" customHeight="1">
      <c r="A166" s="2" t="s">
        <v>874</v>
      </c>
      <c r="B166" s="2" t="s">
        <v>430</v>
      </c>
      <c r="C166" s="2" t="s">
        <v>23</v>
      </c>
      <c r="D166" s="3" t="s">
        <v>24</v>
      </c>
      <c r="E166" s="4">
        <v>1.0</v>
      </c>
      <c r="F166" s="3" t="s">
        <v>623</v>
      </c>
      <c r="G166" s="2" t="s">
        <v>433</v>
      </c>
      <c r="H166" s="3" t="s">
        <v>81</v>
      </c>
      <c r="I166" s="3" t="s">
        <v>516</v>
      </c>
      <c r="J166" s="3" t="s">
        <v>624</v>
      </c>
    </row>
    <row r="167" ht="15.75" customHeight="1">
      <c r="A167" s="2" t="s">
        <v>875</v>
      </c>
      <c r="B167" s="2" t="s">
        <v>430</v>
      </c>
      <c r="C167" s="2" t="s">
        <v>14</v>
      </c>
      <c r="D167" s="3" t="s">
        <v>15</v>
      </c>
      <c r="E167" s="4">
        <v>1.0</v>
      </c>
      <c r="F167" s="3" t="s">
        <v>623</v>
      </c>
      <c r="G167" s="2" t="s">
        <v>426</v>
      </c>
      <c r="H167" s="3" t="s">
        <v>87</v>
      </c>
      <c r="I167" s="3" t="s">
        <v>524</v>
      </c>
      <c r="J167" s="3" t="s">
        <v>627</v>
      </c>
    </row>
    <row r="168" ht="15.75" customHeight="1">
      <c r="A168" s="2" t="s">
        <v>876</v>
      </c>
      <c r="B168" s="2" t="s">
        <v>430</v>
      </c>
      <c r="C168" s="2" t="s">
        <v>16</v>
      </c>
      <c r="D168" s="2" t="s">
        <v>877</v>
      </c>
      <c r="E168" s="4">
        <v>1.0</v>
      </c>
      <c r="F168" s="3" t="s">
        <v>623</v>
      </c>
      <c r="G168" s="2" t="s">
        <v>429</v>
      </c>
      <c r="H168" s="3" t="s">
        <v>59</v>
      </c>
      <c r="I168" s="3" t="s">
        <v>516</v>
      </c>
      <c r="J168" s="3" t="s">
        <v>624</v>
      </c>
    </row>
    <row r="169" ht="15.75" customHeight="1">
      <c r="A169" s="2" t="s">
        <v>878</v>
      </c>
      <c r="B169" s="2" t="s">
        <v>436</v>
      </c>
      <c r="C169" s="2" t="s">
        <v>38</v>
      </c>
      <c r="D169" s="3" t="s">
        <v>39</v>
      </c>
      <c r="E169" s="4">
        <v>5.0</v>
      </c>
      <c r="F169" s="3" t="s">
        <v>623</v>
      </c>
      <c r="G169" s="2" t="s">
        <v>432</v>
      </c>
      <c r="H169" s="3" t="s">
        <v>114</v>
      </c>
      <c r="I169" s="3" t="s">
        <v>516</v>
      </c>
      <c r="J169" s="3" t="s">
        <v>627</v>
      </c>
    </row>
    <row r="170" ht="15.75" customHeight="1">
      <c r="A170" s="2" t="s">
        <v>879</v>
      </c>
      <c r="B170" s="2" t="s">
        <v>599</v>
      </c>
      <c r="C170" s="2" t="s">
        <v>12</v>
      </c>
      <c r="D170" s="3" t="s">
        <v>13</v>
      </c>
      <c r="E170" s="4">
        <v>3.0</v>
      </c>
      <c r="F170" s="3" t="s">
        <v>623</v>
      </c>
      <c r="G170" s="2" t="s">
        <v>438</v>
      </c>
      <c r="H170" s="3" t="s">
        <v>54</v>
      </c>
      <c r="I170" s="3" t="s">
        <v>520</v>
      </c>
      <c r="J170" s="3" t="s">
        <v>624</v>
      </c>
    </row>
    <row r="171" ht="15.75" customHeight="1">
      <c r="A171" s="2" t="s">
        <v>880</v>
      </c>
      <c r="B171" s="2" t="s">
        <v>599</v>
      </c>
      <c r="C171" s="2" t="s">
        <v>14</v>
      </c>
      <c r="D171" s="3" t="s">
        <v>15</v>
      </c>
      <c r="E171" s="4">
        <v>1.0</v>
      </c>
      <c r="F171" s="3" t="s">
        <v>623</v>
      </c>
      <c r="G171" s="2" t="s">
        <v>434</v>
      </c>
      <c r="H171" s="3" t="s">
        <v>104</v>
      </c>
      <c r="I171" s="3" t="s">
        <v>516</v>
      </c>
      <c r="J171" s="3" t="s">
        <v>65</v>
      </c>
    </row>
    <row r="172" ht="15.75" customHeight="1">
      <c r="A172" s="2" t="s">
        <v>881</v>
      </c>
      <c r="B172" s="2" t="s">
        <v>599</v>
      </c>
      <c r="C172" s="2" t="s">
        <v>23</v>
      </c>
      <c r="D172" s="3" t="s">
        <v>24</v>
      </c>
      <c r="E172" s="4">
        <v>1.0</v>
      </c>
      <c r="F172" s="3" t="s">
        <v>623</v>
      </c>
      <c r="G172" s="2" t="s">
        <v>435</v>
      </c>
      <c r="H172" s="3" t="s">
        <v>81</v>
      </c>
      <c r="I172" s="3" t="s">
        <v>520</v>
      </c>
      <c r="J172" s="3" t="s">
        <v>627</v>
      </c>
    </row>
    <row r="173" ht="15.75" customHeight="1">
      <c r="A173" s="2" t="s">
        <v>882</v>
      </c>
      <c r="B173" s="2" t="s">
        <v>599</v>
      </c>
      <c r="C173" s="2" t="s">
        <v>34</v>
      </c>
      <c r="D173" s="3" t="s">
        <v>35</v>
      </c>
      <c r="E173" s="4">
        <v>1.0</v>
      </c>
      <c r="F173" s="3" t="s">
        <v>623</v>
      </c>
      <c r="G173" s="2" t="s">
        <v>439</v>
      </c>
      <c r="H173" s="3" t="s">
        <v>77</v>
      </c>
      <c r="I173" s="3" t="s">
        <v>524</v>
      </c>
      <c r="J173" s="3" t="s">
        <v>627</v>
      </c>
    </row>
    <row r="174" ht="15.75" customHeight="1">
      <c r="A174" s="2" t="s">
        <v>883</v>
      </c>
      <c r="B174" s="2" t="s">
        <v>444</v>
      </c>
      <c r="C174" s="2" t="s">
        <v>19</v>
      </c>
      <c r="D174" s="2" t="s">
        <v>884</v>
      </c>
      <c r="E174" s="4">
        <v>2.0</v>
      </c>
      <c r="F174" s="3" t="s">
        <v>623</v>
      </c>
      <c r="G174" s="2" t="s">
        <v>449</v>
      </c>
      <c r="H174" s="3" t="s">
        <v>54</v>
      </c>
      <c r="I174" s="3" t="s">
        <v>516</v>
      </c>
      <c r="J174" s="3" t="s">
        <v>65</v>
      </c>
    </row>
    <row r="175" ht="15.75" customHeight="1">
      <c r="A175" s="2" t="s">
        <v>885</v>
      </c>
      <c r="B175" s="2" t="s">
        <v>444</v>
      </c>
      <c r="C175" s="2" t="s">
        <v>12</v>
      </c>
      <c r="D175" s="3" t="s">
        <v>13</v>
      </c>
      <c r="E175" s="4">
        <v>1.0</v>
      </c>
      <c r="F175" s="3" t="s">
        <v>623</v>
      </c>
      <c r="G175" s="2" t="s">
        <v>440</v>
      </c>
      <c r="H175" s="3" t="s">
        <v>104</v>
      </c>
      <c r="I175" s="3" t="s">
        <v>520</v>
      </c>
      <c r="J175" s="3" t="s">
        <v>65</v>
      </c>
    </row>
    <row r="176" ht="15.75" customHeight="1">
      <c r="A176" s="2" t="s">
        <v>886</v>
      </c>
      <c r="B176" s="2" t="s">
        <v>457</v>
      </c>
      <c r="C176" s="2" t="s">
        <v>8</v>
      </c>
      <c r="D176" s="3" t="s">
        <v>887</v>
      </c>
      <c r="E176" s="4">
        <v>2.0</v>
      </c>
      <c r="F176" s="3" t="s">
        <v>623</v>
      </c>
      <c r="G176" s="2" t="s">
        <v>456</v>
      </c>
      <c r="H176" s="3" t="s">
        <v>54</v>
      </c>
      <c r="I176" s="3" t="s">
        <v>524</v>
      </c>
      <c r="J176" s="3" t="s">
        <v>65</v>
      </c>
    </row>
    <row r="177" ht="15.75" customHeight="1">
      <c r="A177" s="2" t="s">
        <v>888</v>
      </c>
      <c r="B177" s="2" t="s">
        <v>463</v>
      </c>
      <c r="C177" s="2" t="s">
        <v>38</v>
      </c>
      <c r="D177" s="3" t="s">
        <v>39</v>
      </c>
      <c r="E177" s="4">
        <v>10.0</v>
      </c>
      <c r="F177" s="3" t="s">
        <v>623</v>
      </c>
      <c r="G177" s="2" t="s">
        <v>462</v>
      </c>
      <c r="H177" s="3" t="s">
        <v>59</v>
      </c>
      <c r="I177" s="3" t="s">
        <v>520</v>
      </c>
      <c r="J177" s="3" t="s">
        <v>627</v>
      </c>
    </row>
    <row r="178" ht="15.75" customHeight="1">
      <c r="A178" s="2" t="s">
        <v>889</v>
      </c>
      <c r="B178" s="2" t="s">
        <v>463</v>
      </c>
      <c r="C178" s="2" t="s">
        <v>19</v>
      </c>
      <c r="D178" s="2" t="s">
        <v>890</v>
      </c>
      <c r="E178" s="4">
        <v>1.0</v>
      </c>
      <c r="F178" s="3" t="s">
        <v>623</v>
      </c>
      <c r="G178" s="2" t="s">
        <v>446</v>
      </c>
      <c r="H178" s="3" t="s">
        <v>114</v>
      </c>
      <c r="I178" s="3" t="s">
        <v>520</v>
      </c>
      <c r="J178" s="3" t="s">
        <v>65</v>
      </c>
    </row>
    <row r="179" ht="15.75" customHeight="1">
      <c r="A179" s="2" t="s">
        <v>891</v>
      </c>
      <c r="B179" s="2" t="s">
        <v>463</v>
      </c>
      <c r="C179" s="2" t="s">
        <v>14</v>
      </c>
      <c r="D179" s="3" t="s">
        <v>15</v>
      </c>
      <c r="E179" s="4">
        <v>1.0</v>
      </c>
      <c r="F179" s="3" t="s">
        <v>623</v>
      </c>
      <c r="G179" s="2" t="s">
        <v>459</v>
      </c>
      <c r="H179" s="3" t="s">
        <v>114</v>
      </c>
      <c r="I179" s="3" t="s">
        <v>524</v>
      </c>
      <c r="J179" s="3" t="s">
        <v>624</v>
      </c>
    </row>
    <row r="180" ht="15.75" customHeight="1">
      <c r="A180" s="2" t="s">
        <v>892</v>
      </c>
      <c r="B180" s="2" t="s">
        <v>463</v>
      </c>
      <c r="C180" s="2" t="s">
        <v>16</v>
      </c>
      <c r="D180" s="2" t="s">
        <v>893</v>
      </c>
      <c r="E180" s="4">
        <v>2.0</v>
      </c>
      <c r="F180" s="3" t="s">
        <v>623</v>
      </c>
      <c r="G180" s="2" t="s">
        <v>451</v>
      </c>
      <c r="H180" s="3" t="s">
        <v>101</v>
      </c>
      <c r="I180" s="3" t="s">
        <v>520</v>
      </c>
      <c r="J180" s="3" t="s">
        <v>624</v>
      </c>
    </row>
    <row r="181" ht="15.75" customHeight="1">
      <c r="A181" s="2" t="s">
        <v>894</v>
      </c>
      <c r="B181" s="2" t="s">
        <v>463</v>
      </c>
      <c r="C181" s="2" t="s">
        <v>16</v>
      </c>
      <c r="D181" s="2" t="s">
        <v>895</v>
      </c>
      <c r="E181" s="4">
        <v>1.0</v>
      </c>
      <c r="F181" s="3" t="s">
        <v>623</v>
      </c>
      <c r="G181" s="2" t="s">
        <v>464</v>
      </c>
      <c r="H181" s="3" t="s">
        <v>104</v>
      </c>
      <c r="I181" s="3" t="s">
        <v>524</v>
      </c>
      <c r="J181" s="3" t="s">
        <v>627</v>
      </c>
    </row>
    <row r="182" ht="15.75" customHeight="1">
      <c r="A182" s="2" t="s">
        <v>896</v>
      </c>
      <c r="B182" s="2" t="s">
        <v>469</v>
      </c>
      <c r="C182" s="2" t="s">
        <v>23</v>
      </c>
      <c r="D182" s="3" t="s">
        <v>24</v>
      </c>
      <c r="E182" s="4">
        <v>1.0</v>
      </c>
      <c r="F182" s="3" t="s">
        <v>623</v>
      </c>
      <c r="G182" s="2" t="s">
        <v>460</v>
      </c>
      <c r="H182" s="3" t="s">
        <v>54</v>
      </c>
      <c r="I182" s="3" t="s">
        <v>520</v>
      </c>
      <c r="J182" s="3" t="s">
        <v>65</v>
      </c>
    </row>
    <row r="183" ht="15.75" customHeight="1">
      <c r="A183" s="2" t="s">
        <v>897</v>
      </c>
      <c r="B183" s="2" t="s">
        <v>469</v>
      </c>
      <c r="C183" s="2" t="s">
        <v>12</v>
      </c>
      <c r="D183" s="3" t="s">
        <v>13</v>
      </c>
      <c r="E183" s="4">
        <v>1.0</v>
      </c>
      <c r="F183" s="3" t="s">
        <v>623</v>
      </c>
      <c r="G183" s="2" t="s">
        <v>473</v>
      </c>
      <c r="H183" s="3" t="s">
        <v>81</v>
      </c>
      <c r="I183" s="3" t="s">
        <v>524</v>
      </c>
      <c r="J183" s="3" t="s">
        <v>627</v>
      </c>
    </row>
    <row r="184" ht="15.75" customHeight="1">
      <c r="A184" s="2" t="s">
        <v>898</v>
      </c>
      <c r="B184" s="2" t="s">
        <v>469</v>
      </c>
      <c r="C184" s="2" t="s">
        <v>8</v>
      </c>
      <c r="D184" s="3" t="s">
        <v>899</v>
      </c>
      <c r="E184" s="4">
        <v>5.0</v>
      </c>
      <c r="F184" s="3" t="s">
        <v>623</v>
      </c>
      <c r="G184" s="2" t="s">
        <v>468</v>
      </c>
      <c r="H184" s="3" t="s">
        <v>59</v>
      </c>
      <c r="I184" s="3" t="s">
        <v>524</v>
      </c>
      <c r="J184" s="3" t="s">
        <v>627</v>
      </c>
    </row>
    <row r="185" ht="15.75" customHeight="1">
      <c r="A185" s="2" t="s">
        <v>900</v>
      </c>
      <c r="B185" s="2" t="s">
        <v>478</v>
      </c>
      <c r="C185" s="2" t="s">
        <v>23</v>
      </c>
      <c r="D185" s="3" t="s">
        <v>24</v>
      </c>
      <c r="E185" s="4">
        <v>2.0</v>
      </c>
      <c r="F185" s="3" t="s">
        <v>623</v>
      </c>
      <c r="G185" s="2" t="s">
        <v>466</v>
      </c>
      <c r="H185" s="3" t="s">
        <v>54</v>
      </c>
      <c r="I185" s="3" t="s">
        <v>516</v>
      </c>
      <c r="J185" s="3" t="s">
        <v>627</v>
      </c>
    </row>
    <row r="186" ht="15.75" customHeight="1">
      <c r="A186" s="2" t="s">
        <v>901</v>
      </c>
      <c r="B186" s="2" t="s">
        <v>478</v>
      </c>
      <c r="C186" s="2" t="s">
        <v>19</v>
      </c>
      <c r="D186" s="2" t="s">
        <v>902</v>
      </c>
      <c r="E186" s="4">
        <v>1.0</v>
      </c>
      <c r="F186" s="3" t="s">
        <v>623</v>
      </c>
      <c r="G186" s="2" t="s">
        <v>483</v>
      </c>
      <c r="H186" s="3" t="s">
        <v>81</v>
      </c>
      <c r="I186" s="3" t="s">
        <v>516</v>
      </c>
      <c r="J186" s="3" t="s">
        <v>65</v>
      </c>
    </row>
    <row r="187" ht="15.75" customHeight="1">
      <c r="A187" s="2" t="s">
        <v>903</v>
      </c>
      <c r="B187" s="2" t="s">
        <v>478</v>
      </c>
      <c r="C187" s="2" t="s">
        <v>27</v>
      </c>
      <c r="D187" s="3" t="s">
        <v>904</v>
      </c>
      <c r="E187" s="4">
        <v>5.0</v>
      </c>
      <c r="F187" s="3" t="s">
        <v>742</v>
      </c>
      <c r="G187" s="2" t="s">
        <v>651</v>
      </c>
      <c r="H187" s="3" t="s">
        <v>59</v>
      </c>
      <c r="I187" s="3" t="s">
        <v>524</v>
      </c>
      <c r="J187" s="3" t="s">
        <v>624</v>
      </c>
    </row>
    <row r="188" ht="15.75" customHeight="1">
      <c r="A188" s="2" t="s">
        <v>905</v>
      </c>
      <c r="B188" s="2" t="s">
        <v>487</v>
      </c>
      <c r="C188" s="2" t="s">
        <v>12</v>
      </c>
      <c r="D188" s="3" t="s">
        <v>13</v>
      </c>
      <c r="E188" s="4">
        <v>3.0</v>
      </c>
      <c r="F188" s="3" t="s">
        <v>623</v>
      </c>
      <c r="G188" s="2" t="s">
        <v>485</v>
      </c>
      <c r="H188" s="3" t="s">
        <v>104</v>
      </c>
      <c r="I188" s="3" t="s">
        <v>524</v>
      </c>
      <c r="J188" s="3" t="s">
        <v>65</v>
      </c>
    </row>
    <row r="189" ht="15.75" customHeight="1">
      <c r="A189" s="2" t="s">
        <v>906</v>
      </c>
      <c r="B189" s="2" t="s">
        <v>487</v>
      </c>
      <c r="C189" s="2" t="s">
        <v>19</v>
      </c>
      <c r="D189" s="2" t="s">
        <v>907</v>
      </c>
      <c r="E189" s="4">
        <v>1.0</v>
      </c>
      <c r="F189" s="3" t="s">
        <v>623</v>
      </c>
      <c r="G189" s="2" t="s">
        <v>481</v>
      </c>
      <c r="H189" s="3" t="s">
        <v>87</v>
      </c>
      <c r="I189" s="3" t="s">
        <v>520</v>
      </c>
      <c r="J189" s="3" t="s">
        <v>65</v>
      </c>
    </row>
    <row r="190" ht="15.75" customHeight="1">
      <c r="A190" s="2" t="s">
        <v>908</v>
      </c>
      <c r="B190" s="2" t="s">
        <v>487</v>
      </c>
      <c r="C190" s="2" t="s">
        <v>8</v>
      </c>
      <c r="D190" s="3" t="s">
        <v>909</v>
      </c>
      <c r="E190" s="4">
        <v>3.0</v>
      </c>
      <c r="F190" s="3" t="s">
        <v>623</v>
      </c>
      <c r="G190" s="2" t="s">
        <v>471</v>
      </c>
      <c r="H190" s="3" t="s">
        <v>87</v>
      </c>
      <c r="I190" s="3" t="s">
        <v>524</v>
      </c>
      <c r="J190" s="3" t="s">
        <v>627</v>
      </c>
    </row>
    <row r="191" ht="15.75" customHeight="1">
      <c r="A191" s="2" t="s">
        <v>910</v>
      </c>
      <c r="B191" s="2" t="s">
        <v>491</v>
      </c>
      <c r="C191" s="2" t="s">
        <v>27</v>
      </c>
      <c r="D191" s="3" t="s">
        <v>911</v>
      </c>
      <c r="E191" s="4">
        <v>1.0</v>
      </c>
      <c r="F191" s="3" t="s">
        <v>623</v>
      </c>
      <c r="G191" s="2" t="s">
        <v>488</v>
      </c>
      <c r="H191" s="3" t="s">
        <v>101</v>
      </c>
      <c r="I191" s="3" t="s">
        <v>516</v>
      </c>
      <c r="J191" s="3" t="s">
        <v>624</v>
      </c>
    </row>
    <row r="192" ht="15.75" customHeight="1">
      <c r="A192" s="2" t="s">
        <v>912</v>
      </c>
      <c r="B192" s="2" t="s">
        <v>491</v>
      </c>
      <c r="C192" s="2" t="s">
        <v>23</v>
      </c>
      <c r="D192" s="3" t="s">
        <v>24</v>
      </c>
      <c r="E192" s="4">
        <v>1.0</v>
      </c>
      <c r="F192" s="3" t="s">
        <v>623</v>
      </c>
      <c r="G192" s="2" t="s">
        <v>477</v>
      </c>
      <c r="H192" s="3" t="s">
        <v>87</v>
      </c>
      <c r="I192" s="3" t="s">
        <v>516</v>
      </c>
      <c r="J192" s="3" t="s">
        <v>627</v>
      </c>
    </row>
    <row r="193" ht="15.75" customHeight="1">
      <c r="A193" s="2" t="s">
        <v>913</v>
      </c>
      <c r="B193" s="2" t="s">
        <v>491</v>
      </c>
      <c r="C193" s="2" t="s">
        <v>38</v>
      </c>
      <c r="D193" s="3" t="s">
        <v>39</v>
      </c>
      <c r="E193" s="4">
        <v>2.0</v>
      </c>
      <c r="F193" s="3" t="s">
        <v>673</v>
      </c>
      <c r="G193" s="2" t="s">
        <v>651</v>
      </c>
      <c r="H193" s="3" t="s">
        <v>87</v>
      </c>
      <c r="I193" s="3" t="s">
        <v>524</v>
      </c>
      <c r="J193" s="3" t="s">
        <v>65</v>
      </c>
    </row>
    <row r="194" ht="15.75" customHeight="1">
      <c r="A194" s="2" t="s">
        <v>914</v>
      </c>
      <c r="B194" s="2" t="s">
        <v>494</v>
      </c>
      <c r="C194" s="2" t="s">
        <v>12</v>
      </c>
      <c r="D194" s="3" t="s">
        <v>13</v>
      </c>
      <c r="E194" s="4">
        <v>3.0</v>
      </c>
      <c r="F194" s="3" t="s">
        <v>623</v>
      </c>
      <c r="G194" s="2" t="s">
        <v>498</v>
      </c>
      <c r="H194" s="3" t="s">
        <v>77</v>
      </c>
      <c r="I194" s="3" t="s">
        <v>524</v>
      </c>
      <c r="J194" s="3" t="s">
        <v>627</v>
      </c>
    </row>
    <row r="195" ht="15.75" customHeight="1">
      <c r="A195" s="2" t="s">
        <v>915</v>
      </c>
      <c r="B195" s="2" t="s">
        <v>494</v>
      </c>
      <c r="C195" s="2" t="s">
        <v>30</v>
      </c>
      <c r="D195" s="3" t="s">
        <v>916</v>
      </c>
      <c r="E195" s="4">
        <v>2.0</v>
      </c>
      <c r="F195" s="3" t="s">
        <v>623</v>
      </c>
      <c r="G195" s="2" t="s">
        <v>501</v>
      </c>
      <c r="H195" s="3" t="s">
        <v>54</v>
      </c>
      <c r="I195" s="3" t="s">
        <v>524</v>
      </c>
      <c r="J195" s="3" t="s">
        <v>65</v>
      </c>
    </row>
    <row r="196" ht="15.75" customHeight="1">
      <c r="A196" s="2" t="s">
        <v>917</v>
      </c>
      <c r="B196" s="2" t="s">
        <v>494</v>
      </c>
      <c r="C196" s="2" t="s">
        <v>12</v>
      </c>
      <c r="D196" s="3" t="s">
        <v>13</v>
      </c>
      <c r="E196" s="4">
        <v>1.0</v>
      </c>
      <c r="F196" s="3" t="s">
        <v>623</v>
      </c>
      <c r="G196" s="2" t="s">
        <v>497</v>
      </c>
      <c r="H196" s="3" t="s">
        <v>101</v>
      </c>
      <c r="I196" s="3" t="s">
        <v>516</v>
      </c>
      <c r="J196" s="3" t="s">
        <v>624</v>
      </c>
    </row>
    <row r="197" ht="15.75" customHeight="1">
      <c r="A197" s="2" t="s">
        <v>918</v>
      </c>
      <c r="B197" s="2" t="s">
        <v>505</v>
      </c>
      <c r="C197" s="2" t="s">
        <v>19</v>
      </c>
      <c r="D197" s="2" t="s">
        <v>919</v>
      </c>
      <c r="E197" s="4">
        <v>2.0</v>
      </c>
      <c r="F197" s="3" t="s">
        <v>623</v>
      </c>
      <c r="G197" s="2" t="s">
        <v>490</v>
      </c>
      <c r="H197" s="3" t="s">
        <v>54</v>
      </c>
      <c r="I197" s="3" t="s">
        <v>516</v>
      </c>
      <c r="J197" s="3" t="s">
        <v>624</v>
      </c>
    </row>
    <row r="198" ht="15.75" customHeight="1">
      <c r="A198" s="2" t="s">
        <v>920</v>
      </c>
      <c r="B198" s="2" t="s">
        <v>505</v>
      </c>
      <c r="C198" s="2" t="s">
        <v>19</v>
      </c>
      <c r="D198" s="2" t="s">
        <v>921</v>
      </c>
      <c r="E198" s="4">
        <v>3.0</v>
      </c>
      <c r="F198" s="3" t="s">
        <v>623</v>
      </c>
      <c r="G198" s="2" t="s">
        <v>499</v>
      </c>
      <c r="H198" s="3" t="s">
        <v>59</v>
      </c>
      <c r="I198" s="3" t="s">
        <v>524</v>
      </c>
      <c r="J198" s="3" t="s">
        <v>65</v>
      </c>
    </row>
    <row r="199" ht="15.75" customHeight="1">
      <c r="A199" s="2" t="s">
        <v>922</v>
      </c>
      <c r="B199" s="2" t="s">
        <v>614</v>
      </c>
      <c r="C199" s="2" t="s">
        <v>19</v>
      </c>
      <c r="D199" s="2" t="s">
        <v>923</v>
      </c>
      <c r="E199" s="4">
        <v>3.0</v>
      </c>
      <c r="F199" s="3" t="s">
        <v>623</v>
      </c>
      <c r="G199" s="2" t="s">
        <v>495</v>
      </c>
      <c r="H199" s="3" t="s">
        <v>101</v>
      </c>
      <c r="I199" s="3" t="s">
        <v>520</v>
      </c>
      <c r="J199" s="3" t="s">
        <v>627</v>
      </c>
    </row>
    <row r="200" ht="15.75" customHeight="1">
      <c r="A200" s="2" t="s">
        <v>924</v>
      </c>
      <c r="B200" s="2" t="s">
        <v>614</v>
      </c>
      <c r="C200" s="2" t="s">
        <v>38</v>
      </c>
      <c r="D200" s="3" t="s">
        <v>39</v>
      </c>
      <c r="E200" s="4">
        <v>1.0</v>
      </c>
      <c r="F200" s="3" t="s">
        <v>623</v>
      </c>
      <c r="G200" s="2" t="s">
        <v>493</v>
      </c>
      <c r="H200" s="3" t="s">
        <v>114</v>
      </c>
      <c r="I200" s="3" t="s">
        <v>524</v>
      </c>
      <c r="J200" s="3" t="s">
        <v>627</v>
      </c>
    </row>
    <row r="201" ht="15.75" customHeight="1">
      <c r="A201" s="2" t="s">
        <v>925</v>
      </c>
      <c r="B201" s="2" t="s">
        <v>926</v>
      </c>
      <c r="C201" s="2" t="s">
        <v>19</v>
      </c>
      <c r="D201" s="2" t="s">
        <v>927</v>
      </c>
      <c r="E201" s="4">
        <v>2.0</v>
      </c>
      <c r="F201" s="3" t="s">
        <v>623</v>
      </c>
      <c r="G201" s="2" t="s">
        <v>504</v>
      </c>
      <c r="H201" s="3" t="s">
        <v>87</v>
      </c>
      <c r="I201" s="3" t="s">
        <v>520</v>
      </c>
      <c r="J201" s="3" t="s">
        <v>65</v>
      </c>
    </row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22.0"/>
    <col customWidth="1" min="3" max="3" width="14.0"/>
    <col customWidth="1" min="4" max="7" width="12.0"/>
    <col customWidth="1" min="8" max="8" width="14.0"/>
    <col customWidth="1" min="9" max="26" width="8.71"/>
  </cols>
  <sheetData>
    <row r="1" ht="24.0" customHeight="1">
      <c r="A1" s="1" t="s">
        <v>0</v>
      </c>
      <c r="B1" s="1" t="s">
        <v>1</v>
      </c>
      <c r="C1" s="1" t="s">
        <v>2</v>
      </c>
      <c r="D1" s="1" t="s">
        <v>928</v>
      </c>
      <c r="E1" s="1" t="s">
        <v>929</v>
      </c>
      <c r="F1" s="1" t="s">
        <v>930</v>
      </c>
      <c r="G1" s="1" t="s">
        <v>6</v>
      </c>
      <c r="H1" s="1" t="s">
        <v>931</v>
      </c>
    </row>
    <row r="2">
      <c r="A2" s="2" t="s">
        <v>8</v>
      </c>
      <c r="B2" s="3" t="s">
        <v>932</v>
      </c>
      <c r="C2" s="3" t="s">
        <v>10</v>
      </c>
      <c r="D2" s="4">
        <f>SUMIF(Inbound!C:C,A2,Inbound!F:F)</f>
        <v>150</v>
      </c>
      <c r="E2" s="4">
        <f>SUMIF(Outbound!C:C,A2,Outbound!E:E)</f>
        <v>20</v>
      </c>
      <c r="F2" s="6">
        <f t="shared" ref="F2:F11" si="1">D2-E2</f>
        <v>130</v>
      </c>
      <c r="G2" s="4">
        <v>50.0</v>
      </c>
      <c r="H2" s="2" t="str">
        <f t="shared" ref="H2:H11" si="2">IF(F2&lt;G2,"재주문필요",IF(F2&lt;G2*1.5,"주의","정상"))</f>
        <v>정상</v>
      </c>
    </row>
    <row r="3">
      <c r="A3" s="2" t="s">
        <v>12</v>
      </c>
      <c r="B3" s="3" t="s">
        <v>13</v>
      </c>
      <c r="C3" s="3" t="s">
        <v>10</v>
      </c>
      <c r="D3" s="4">
        <f>SUMIF(Inbound!C:C,A3,Inbound!F:F)</f>
        <v>260</v>
      </c>
      <c r="E3" s="4">
        <f>SUMIF(Outbound!C:C,A3,Outbound!E:E)</f>
        <v>30</v>
      </c>
      <c r="F3" s="6">
        <f t="shared" si="1"/>
        <v>230</v>
      </c>
      <c r="G3" s="4">
        <v>200.0</v>
      </c>
      <c r="H3" s="2" t="str">
        <f t="shared" si="2"/>
        <v>주의</v>
      </c>
    </row>
    <row r="4">
      <c r="A4" s="2" t="s">
        <v>14</v>
      </c>
      <c r="B4" s="3" t="s">
        <v>15</v>
      </c>
      <c r="C4" s="3" t="s">
        <v>10</v>
      </c>
      <c r="D4" s="4">
        <f>SUMIF(Inbound!C:C,A4,Inbound!F:F)</f>
        <v>540</v>
      </c>
      <c r="E4" s="4">
        <f>SUMIF(Outbound!C:C,A4,Outbound!E:E)</f>
        <v>56</v>
      </c>
      <c r="F4" s="6">
        <f t="shared" si="1"/>
        <v>484</v>
      </c>
      <c r="G4" s="4">
        <v>100.0</v>
      </c>
      <c r="H4" s="2" t="str">
        <f t="shared" si="2"/>
        <v>정상</v>
      </c>
    </row>
    <row r="5">
      <c r="A5" s="2" t="s">
        <v>16</v>
      </c>
      <c r="B5" s="2" t="s">
        <v>933</v>
      </c>
      <c r="C5" s="3" t="s">
        <v>10</v>
      </c>
      <c r="D5" s="4">
        <f>SUMIF(Inbound!C:C,A5,Inbound!F:F)</f>
        <v>480</v>
      </c>
      <c r="E5" s="4">
        <f>SUMIF(Outbound!C:C,A5,Outbound!E:E)</f>
        <v>48</v>
      </c>
      <c r="F5" s="6">
        <f t="shared" si="1"/>
        <v>432</v>
      </c>
      <c r="G5" s="4">
        <v>80.0</v>
      </c>
      <c r="H5" s="2" t="str">
        <f t="shared" si="2"/>
        <v>정상</v>
      </c>
    </row>
    <row r="6">
      <c r="A6" s="2" t="s">
        <v>19</v>
      </c>
      <c r="B6" s="2" t="s">
        <v>934</v>
      </c>
      <c r="C6" s="3" t="s">
        <v>21</v>
      </c>
      <c r="D6" s="4">
        <f>SUMIF(Inbound!C:C,A6,Inbound!F:F)</f>
        <v>1050</v>
      </c>
      <c r="E6" s="4">
        <f>SUMIF(Outbound!C:C,A6,Outbound!E:E)</f>
        <v>58</v>
      </c>
      <c r="F6" s="6">
        <f t="shared" si="1"/>
        <v>992</v>
      </c>
      <c r="G6" s="4">
        <v>150.0</v>
      </c>
      <c r="H6" s="2" t="str">
        <f t="shared" si="2"/>
        <v>정상</v>
      </c>
    </row>
    <row r="7">
      <c r="A7" s="2" t="s">
        <v>23</v>
      </c>
      <c r="B7" s="3" t="s">
        <v>24</v>
      </c>
      <c r="C7" s="3" t="s">
        <v>25</v>
      </c>
      <c r="D7" s="4">
        <f>SUMIF(Inbound!C:C,A7,Inbound!F:F)</f>
        <v>760</v>
      </c>
      <c r="E7" s="4">
        <f>SUMIF(Outbound!C:C,A7,Outbound!E:E)</f>
        <v>52</v>
      </c>
      <c r="F7" s="6">
        <f t="shared" si="1"/>
        <v>708</v>
      </c>
      <c r="G7" s="4">
        <v>120.0</v>
      </c>
      <c r="H7" s="2" t="str">
        <f t="shared" si="2"/>
        <v>정상</v>
      </c>
    </row>
    <row r="8">
      <c r="A8" s="2" t="s">
        <v>27</v>
      </c>
      <c r="B8" s="3" t="s">
        <v>935</v>
      </c>
      <c r="C8" s="3" t="s">
        <v>21</v>
      </c>
      <c r="D8" s="4">
        <f>SUMIF(Inbound!C:C,A8,Inbound!F:F)</f>
        <v>560</v>
      </c>
      <c r="E8" s="4">
        <f>SUMIF(Outbound!C:C,A8,Outbound!E:E)</f>
        <v>42</v>
      </c>
      <c r="F8" s="6">
        <f t="shared" si="1"/>
        <v>518</v>
      </c>
      <c r="G8" s="4">
        <v>100.0</v>
      </c>
      <c r="H8" s="2" t="str">
        <f t="shared" si="2"/>
        <v>정상</v>
      </c>
    </row>
    <row r="9">
      <c r="A9" s="2" t="s">
        <v>30</v>
      </c>
      <c r="B9" s="3" t="s">
        <v>936</v>
      </c>
      <c r="C9" s="3" t="s">
        <v>32</v>
      </c>
      <c r="D9" s="4">
        <f>SUMIF(Inbound!C:C,A9,Inbound!F:F)</f>
        <v>660</v>
      </c>
      <c r="E9" s="4">
        <f>SUMIF(Outbound!C:C,A9,Outbound!E:E)</f>
        <v>45</v>
      </c>
      <c r="F9" s="6">
        <f t="shared" si="1"/>
        <v>615</v>
      </c>
      <c r="G9" s="4">
        <v>130.0</v>
      </c>
      <c r="H9" s="2" t="str">
        <f t="shared" si="2"/>
        <v>정상</v>
      </c>
    </row>
    <row r="10">
      <c r="A10" s="2" t="s">
        <v>34</v>
      </c>
      <c r="B10" s="3" t="s">
        <v>35</v>
      </c>
      <c r="C10" s="3" t="s">
        <v>36</v>
      </c>
      <c r="D10" s="4">
        <f>SUMIF(Inbound!C:C,A10,Inbound!F:F)</f>
        <v>670</v>
      </c>
      <c r="E10" s="4">
        <f>SUMIF(Outbound!C:C,A10,Outbound!E:E)</f>
        <v>32</v>
      </c>
      <c r="F10" s="6">
        <f t="shared" si="1"/>
        <v>638</v>
      </c>
      <c r="G10" s="4">
        <v>90.0</v>
      </c>
      <c r="H10" s="2" t="str">
        <f t="shared" si="2"/>
        <v>정상</v>
      </c>
    </row>
    <row r="11">
      <c r="A11" s="2" t="s">
        <v>38</v>
      </c>
      <c r="B11" s="3" t="s">
        <v>39</v>
      </c>
      <c r="C11" s="3" t="s">
        <v>25</v>
      </c>
      <c r="D11" s="4">
        <f>SUMIF(Inbound!C:C,A11,Inbound!F:F)</f>
        <v>300</v>
      </c>
      <c r="E11" s="4">
        <f>SUMIF(Outbound!C:C,A11,Outbound!E:E)</f>
        <v>68</v>
      </c>
      <c r="F11" s="6">
        <f t="shared" si="1"/>
        <v>232</v>
      </c>
      <c r="G11" s="4">
        <v>140.0</v>
      </c>
      <c r="H11" s="2" t="str">
        <f t="shared" si="2"/>
        <v>정상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3" width="18.0"/>
    <col customWidth="1" min="4" max="4" width="22.0"/>
    <col customWidth="1" min="5" max="26" width="8.71"/>
  </cols>
  <sheetData>
    <row r="1" ht="27.75" customHeight="1">
      <c r="A1" s="7" t="s">
        <v>937</v>
      </c>
    </row>
    <row r="3" ht="21.75" customHeight="1">
      <c r="A3" s="1" t="s">
        <v>938</v>
      </c>
      <c r="B3" s="1" t="s">
        <v>939</v>
      </c>
      <c r="C3" s="1" t="s">
        <v>940</v>
      </c>
      <c r="D3" s="1" t="s">
        <v>941</v>
      </c>
    </row>
    <row r="4">
      <c r="A4" s="3" t="s">
        <v>942</v>
      </c>
      <c r="B4" s="4">
        <f>COUNTA(Sales!A2:A201)</f>
        <v>200</v>
      </c>
      <c r="C4" s="3" t="s">
        <v>943</v>
      </c>
      <c r="D4" s="2" t="s">
        <v>944</v>
      </c>
    </row>
    <row r="5">
      <c r="A5" s="3" t="s">
        <v>945</v>
      </c>
      <c r="B5" s="4">
        <f>SUM(Sales!I2:I201)</f>
        <v>122661450</v>
      </c>
      <c r="C5" s="3" t="s">
        <v>946</v>
      </c>
      <c r="D5" s="3" t="s">
        <v>947</v>
      </c>
    </row>
    <row r="6">
      <c r="A6" s="3" t="s">
        <v>948</v>
      </c>
      <c r="B6" s="4">
        <f>SUM(Sales!F2:F201)</f>
        <v>449</v>
      </c>
      <c r="C6" s="3" t="s">
        <v>949</v>
      </c>
      <c r="D6" s="3" t="s">
        <v>950</v>
      </c>
    </row>
    <row r="7">
      <c r="A7" s="3" t="s">
        <v>951</v>
      </c>
      <c r="B7" s="4">
        <f>AVERAGE(Sales!I2:I201)</f>
        <v>613307.25</v>
      </c>
      <c r="C7" s="3" t="s">
        <v>946</v>
      </c>
      <c r="D7" s="3" t="s">
        <v>952</v>
      </c>
      <c r="H7" s="4"/>
    </row>
    <row r="8">
      <c r="A8" s="3" t="s">
        <v>953</v>
      </c>
      <c r="B8" s="4">
        <f>COUNTA(Inbound!A2:A61)</f>
        <v>60</v>
      </c>
      <c r="C8" s="3" t="s">
        <v>943</v>
      </c>
      <c r="D8" s="2" t="s">
        <v>954</v>
      </c>
    </row>
    <row r="9">
      <c r="A9" s="3" t="s">
        <v>955</v>
      </c>
      <c r="B9" s="4">
        <f>SUM(Inbound!H2:H61)</f>
        <v>994500000</v>
      </c>
      <c r="C9" s="3" t="s">
        <v>946</v>
      </c>
      <c r="D9" s="3" t="s">
        <v>956</v>
      </c>
    </row>
    <row r="10">
      <c r="A10" s="3" t="s">
        <v>957</v>
      </c>
      <c r="B10" s="4">
        <f>COUNTA(Outbound!A2:A201)</f>
        <v>200</v>
      </c>
      <c r="C10" s="3" t="s">
        <v>943</v>
      </c>
      <c r="D10" s="3" t="s">
        <v>958</v>
      </c>
    </row>
    <row r="11">
      <c r="A11" s="3" t="s">
        <v>959</v>
      </c>
      <c r="B11" s="4">
        <f>COUNTIF(Inventory!H2:H11,"재주문필요")</f>
        <v>0</v>
      </c>
      <c r="C11" s="3" t="s">
        <v>949</v>
      </c>
      <c r="D11" s="3" t="s">
        <v>960</v>
      </c>
    </row>
    <row r="12">
      <c r="A12" s="3" t="s">
        <v>961</v>
      </c>
      <c r="B12" s="4">
        <f>COUNTIF(Inventory!H2:H11,"주의")</f>
        <v>1</v>
      </c>
      <c r="C12" s="3" t="s">
        <v>949</v>
      </c>
      <c r="D12" s="3" t="s">
        <v>962</v>
      </c>
    </row>
    <row r="14">
      <c r="A14" s="8" t="s">
        <v>963</v>
      </c>
    </row>
    <row r="15" ht="21.75" customHeight="1">
      <c r="A15" s="1" t="s">
        <v>2</v>
      </c>
      <c r="B15" s="1" t="s">
        <v>964</v>
      </c>
      <c r="C15" s="1" t="s">
        <v>45</v>
      </c>
      <c r="D15" s="1" t="s">
        <v>965</v>
      </c>
    </row>
    <row r="16">
      <c r="A16" s="3" t="s">
        <v>36</v>
      </c>
      <c r="B16" s="4">
        <f>SUMIF(Sales!E2:E201,A16,Sales!F2:F201)</f>
        <v>30</v>
      </c>
      <c r="C16" s="4">
        <f>SUMIF(Sales!E2:E201,A16,Sales!I2:I201)</f>
        <v>9475200</v>
      </c>
      <c r="D16" s="5">
        <f t="shared" ref="D16:D20" si="1">C16/$B$5</f>
        <v>0.07724676335</v>
      </c>
    </row>
    <row r="17">
      <c r="A17" s="3" t="s">
        <v>25</v>
      </c>
      <c r="B17" s="4">
        <f>SUMIF(Sales!E2:E201,A17,Sales!F2:F201)</f>
        <v>124</v>
      </c>
      <c r="C17" s="4">
        <f>SUMIF(Sales!E2:E201,A17,Sales!I2:I201)</f>
        <v>28791050</v>
      </c>
      <c r="D17" s="5">
        <f t="shared" si="1"/>
        <v>0.2347196287</v>
      </c>
    </row>
    <row r="18">
      <c r="A18" s="3" t="s">
        <v>32</v>
      </c>
      <c r="B18" s="4">
        <f>SUMIF(Sales!E2:E201,A18,Sales!F2:F201)</f>
        <v>38</v>
      </c>
      <c r="C18" s="4">
        <f>SUMIF(Sales!E2:E201,A18,Sales!I2:I201)</f>
        <v>6739350</v>
      </c>
      <c r="D18" s="5">
        <f t="shared" si="1"/>
        <v>0.05494268982</v>
      </c>
    </row>
    <row r="19">
      <c r="A19" s="3" t="s">
        <v>10</v>
      </c>
      <c r="B19" s="4">
        <f>SUMIF(Sales!E2:E201,A19,Sales!F2:F201)</f>
        <v>154</v>
      </c>
      <c r="C19" s="4">
        <f>SUMIF(Sales!E2:E201,A19,Sales!I2:I201)</f>
        <v>66048050</v>
      </c>
      <c r="D19" s="5">
        <f t="shared" si="1"/>
        <v>0.5384580893</v>
      </c>
    </row>
    <row r="20">
      <c r="A20" s="3" t="s">
        <v>21</v>
      </c>
      <c r="B20" s="4">
        <f>SUMIF(Sales!E2:E201,A20,Sales!F2:F201)</f>
        <v>103</v>
      </c>
      <c r="C20" s="4">
        <f>SUMIF(Sales!E2:E201,A20,Sales!I2:I201)</f>
        <v>11607800</v>
      </c>
      <c r="D20" s="5">
        <f t="shared" si="1"/>
        <v>0.09463282881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D1"/>
    <mergeCell ref="A14:D14"/>
  </mergeCells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4.14"/>
    <col customWidth="1" min="2" max="2" width="31.43"/>
    <col customWidth="1" min="4" max="4" width="28.86"/>
  </cols>
  <sheetData>
    <row r="1">
      <c r="A1" s="9" t="s">
        <v>938</v>
      </c>
      <c r="B1" s="9" t="s">
        <v>966</v>
      </c>
      <c r="C1" s="9" t="s">
        <v>940</v>
      </c>
      <c r="D1" s="9" t="s">
        <v>967</v>
      </c>
    </row>
    <row r="2">
      <c r="A2" s="10" t="s">
        <v>942</v>
      </c>
      <c r="B2" s="11">
        <f>COUNTA(Sales!A2:A201)</f>
        <v>200</v>
      </c>
      <c r="C2" s="10" t="s">
        <v>943</v>
      </c>
      <c r="D2" s="10" t="s">
        <v>968</v>
      </c>
    </row>
    <row r="3">
      <c r="A3" s="10" t="s">
        <v>945</v>
      </c>
      <c r="B3" s="11">
        <f>SUM(Sales!I2:I201)</f>
        <v>122661450</v>
      </c>
      <c r="C3" s="10" t="s">
        <v>946</v>
      </c>
      <c r="D3" s="10" t="s">
        <v>969</v>
      </c>
    </row>
    <row r="4">
      <c r="A4" s="10" t="s">
        <v>970</v>
      </c>
      <c r="B4" s="11">
        <f>SUM(Sales!F2:F201)</f>
        <v>449</v>
      </c>
      <c r="C4" s="10" t="s">
        <v>949</v>
      </c>
      <c r="D4" s="10" t="s">
        <v>971</v>
      </c>
    </row>
    <row r="5">
      <c r="A5" s="10" t="s">
        <v>972</v>
      </c>
      <c r="B5" s="11">
        <f>AVERAGE(Sales!I2:I201)</f>
        <v>613307.25</v>
      </c>
      <c r="C5" s="10" t="s">
        <v>946</v>
      </c>
      <c r="D5" s="10" t="s">
        <v>973</v>
      </c>
    </row>
    <row r="6">
      <c r="A6" s="10" t="s">
        <v>974</v>
      </c>
      <c r="B6" s="11">
        <f>SUM(Inbound!F2:F61)</f>
        <v>5430</v>
      </c>
      <c r="C6" s="10" t="s">
        <v>949</v>
      </c>
      <c r="D6" s="10" t="s">
        <v>975</v>
      </c>
    </row>
    <row r="7">
      <c r="A7" s="10" t="s">
        <v>976</v>
      </c>
      <c r="B7" s="11">
        <f>SUM(Outbound!E2:E201)</f>
        <v>451</v>
      </c>
      <c r="C7" s="10" t="s">
        <v>949</v>
      </c>
      <c r="D7" s="10" t="s">
        <v>977</v>
      </c>
    </row>
    <row r="8">
      <c r="A8" s="10" t="s">
        <v>978</v>
      </c>
      <c r="B8" s="11">
        <f>SUM(Inventory!F2:F11)</f>
        <v>4979</v>
      </c>
      <c r="C8" s="10" t="s">
        <v>949</v>
      </c>
      <c r="D8" s="10" t="s">
        <v>979</v>
      </c>
    </row>
    <row r="9">
      <c r="A9" s="10" t="s">
        <v>980</v>
      </c>
      <c r="B9" s="12">
        <f>COUNTIF(Inventory!H2:H11,"재주문필요")</f>
        <v>0</v>
      </c>
      <c r="C9" s="10" t="s">
        <v>949</v>
      </c>
      <c r="D9" s="10" t="s">
        <v>981</v>
      </c>
    </row>
    <row r="10">
      <c r="A10" s="10" t="s">
        <v>982</v>
      </c>
      <c r="B10" s="12">
        <f>COUNTIF(Inventory!H2:H11,"주의")</f>
        <v>1</v>
      </c>
      <c r="C10" s="10" t="s">
        <v>949</v>
      </c>
      <c r="D10" s="10" t="s">
        <v>983</v>
      </c>
    </row>
    <row r="11">
      <c r="A11" s="10" t="s">
        <v>984</v>
      </c>
      <c r="B11" s="12">
        <f>COUNTIF(Inventory!H2:H11,"정상")</f>
        <v>9</v>
      </c>
      <c r="C11" s="10" t="s">
        <v>949</v>
      </c>
      <c r="D11" s="10" t="s">
        <v>985</v>
      </c>
    </row>
    <row r="12">
      <c r="A12" s="10" t="s">
        <v>986</v>
      </c>
      <c r="B12" s="12">
        <f>SUM(Outbound!E2:E201)/AVERAGE(Inventory!F2:F11)</f>
        <v>0.9058043784</v>
      </c>
      <c r="C12" s="10" t="s">
        <v>987</v>
      </c>
      <c r="D12" s="10" t="s">
        <v>988</v>
      </c>
    </row>
    <row r="13">
      <c r="A13" s="10" t="s">
        <v>989</v>
      </c>
      <c r="B13" s="13">
        <f>AVERAGE(Products!H2:H11)</f>
        <v>0.3532862176</v>
      </c>
      <c r="C13" s="10" t="s">
        <v>990</v>
      </c>
      <c r="D13" s="10" t="s">
        <v>991</v>
      </c>
    </row>
    <row r="14">
      <c r="A14" s="10" t="s">
        <v>992</v>
      </c>
      <c r="B14" s="12">
        <f>SUMPRODUCT(Sales!F2:F201,(Sales!G2:G201-VLOOKUP(Sales!C2:C201,Products!A:E,5,FALSE)))</f>
        <v>39096000</v>
      </c>
      <c r="C14" s="10" t="s">
        <v>946</v>
      </c>
      <c r="D14" s="10" t="s">
        <v>993</v>
      </c>
    </row>
    <row r="15">
      <c r="A15" s="10" t="s">
        <v>994</v>
      </c>
      <c r="B15" s="12">
        <f>SUMIF(Inbound!E:E,"TechCorp",Inbound!H:H)</f>
        <v>288800000</v>
      </c>
      <c r="C15" s="10" t="s">
        <v>946</v>
      </c>
      <c r="D15" s="10" t="s">
        <v>995</v>
      </c>
    </row>
    <row r="16">
      <c r="A16" s="10" t="s">
        <v>996</v>
      </c>
      <c r="B16" s="12">
        <f>COUNTIF(Inbound!K:K,"부분불량")</f>
        <v>7</v>
      </c>
      <c r="C16" s="10" t="s">
        <v>943</v>
      </c>
      <c r="D16" s="10" t="s">
        <v>997</v>
      </c>
    </row>
    <row r="17">
      <c r="A17" s="10" t="s">
        <v>998</v>
      </c>
      <c r="B17" s="12">
        <f>COUNTIF(Inbound!K:K,"부분불량")/COUNTA(Inbound!A:A)</f>
        <v>0.1147540984</v>
      </c>
      <c r="C17" s="10" t="s">
        <v>990</v>
      </c>
      <c r="D17" s="10" t="s">
        <v>999</v>
      </c>
    </row>
    <row r="18">
      <c r="A18" s="10" t="s">
        <v>1000</v>
      </c>
      <c r="B18" s="12">
        <f>COUNTIF(Inventory!H:H,"재주문필요")/COUNTA(Inventory!A:A)</f>
        <v>0</v>
      </c>
      <c r="C18" s="10" t="s">
        <v>990</v>
      </c>
      <c r="D18" s="10" t="s">
        <v>1001</v>
      </c>
    </row>
  </sheetData>
  <drawing r:id="rId1"/>
</worksheet>
</file>